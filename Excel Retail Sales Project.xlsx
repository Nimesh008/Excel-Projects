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Excel Pizza Dashborads\"/>
    </mc:Choice>
  </mc:AlternateContent>
  <xr:revisionPtr revIDLastSave="0" documentId="13_ncr:1_{B1D3F7B8-AEDF-4C51-8661-2B192FFB9854}" xr6:coauthVersionLast="47" xr6:coauthVersionMax="47" xr10:uidLastSave="{00000000-0000-0000-0000-000000000000}"/>
  <bookViews>
    <workbookView xWindow="-108" yWindow="-108" windowWidth="23256" windowHeight="12576" activeTab="3" xr2:uid="{00000000-000D-0000-FFFF-FFFF00000000}"/>
  </bookViews>
  <sheets>
    <sheet name="Raw Data" sheetId="2" r:id="rId1"/>
    <sheet name="Sheet1" sheetId="1" r:id="rId2"/>
    <sheet name="Sheet4" sheetId="4" r:id="rId3"/>
    <sheet name="Dashboard" sheetId="3" r:id="rId4"/>
  </sheets>
  <externalReferences>
    <externalReference r:id="rId5"/>
  </externalReferences>
  <definedNames>
    <definedName name="_xlnm._FilterDatabase" localSheetId="0" hidden="1">'Raw Data'!$A$1:$G$528</definedName>
    <definedName name="_xlchart.v1.0" hidden="1">Sheet4!$P$5:$P$9</definedName>
    <definedName name="_xlchart.v1.1" hidden="1">Sheet4!$Q$4</definedName>
    <definedName name="_xlchart.v1.2" hidden="1">Sheet4!$Q$5:$Q$9</definedName>
    <definedName name="Slicer_Month">#N/A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4" i="4" l="1" a="1"/>
  <c r="P4" i="4" s="1"/>
  <c r="F4" i="4"/>
  <c r="G4" i="4" s="1"/>
  <c r="H4" i="4" s="1"/>
  <c r="F5" i="4"/>
  <c r="G5" i="4" s="1"/>
  <c r="H5" i="4" s="1"/>
  <c r="F6" i="4"/>
  <c r="G6" i="4" s="1"/>
  <c r="H6" i="4" s="1"/>
  <c r="F7" i="4"/>
  <c r="G7" i="4" s="1"/>
  <c r="H7" i="4" s="1"/>
  <c r="F8" i="4"/>
  <c r="G8" i="4" s="1"/>
  <c r="H8" i="4" s="1"/>
  <c r="F9" i="4"/>
  <c r="G9" i="4" s="1"/>
  <c r="H9" i="4" s="1"/>
  <c r="F10" i="4"/>
  <c r="G10" i="4" s="1"/>
  <c r="H10" i="4" s="1"/>
  <c r="F11" i="4"/>
  <c r="G11" i="4" s="1"/>
  <c r="H11" i="4" s="1"/>
  <c r="F12" i="4"/>
  <c r="G12" i="4" s="1"/>
  <c r="H12" i="4" s="1"/>
  <c r="F13" i="4"/>
  <c r="G13" i="4" s="1"/>
  <c r="H13" i="4" s="1"/>
  <c r="F14" i="4"/>
  <c r="G14" i="4" s="1"/>
  <c r="H14" i="4" s="1"/>
  <c r="F15" i="4"/>
  <c r="G15" i="4" s="1"/>
  <c r="H15" i="4" s="1"/>
  <c r="I528" i="2"/>
  <c r="H528" i="2"/>
  <c r="I527" i="2"/>
  <c r="H527" i="2"/>
  <c r="I526" i="2"/>
  <c r="H526" i="2"/>
  <c r="I525" i="2"/>
  <c r="H525" i="2"/>
  <c r="I524" i="2"/>
  <c r="H524" i="2"/>
  <c r="I523" i="2"/>
  <c r="H523" i="2"/>
  <c r="I522" i="2"/>
  <c r="H522" i="2"/>
  <c r="I521" i="2"/>
  <c r="H521" i="2"/>
  <c r="I520" i="2"/>
  <c r="H520" i="2"/>
  <c r="I519" i="2"/>
  <c r="H519" i="2"/>
  <c r="I518" i="2"/>
  <c r="H518" i="2"/>
  <c r="I517" i="2"/>
  <c r="H517" i="2"/>
  <c r="I516" i="2"/>
  <c r="H516" i="2"/>
  <c r="I515" i="2"/>
  <c r="H515" i="2"/>
  <c r="I514" i="2"/>
  <c r="H514" i="2"/>
  <c r="I513" i="2"/>
  <c r="H513" i="2"/>
  <c r="I512" i="2"/>
  <c r="H512" i="2"/>
  <c r="I511" i="2"/>
  <c r="H511" i="2"/>
  <c r="I510" i="2"/>
  <c r="H510" i="2"/>
  <c r="I509" i="2"/>
  <c r="H509" i="2"/>
  <c r="I508" i="2"/>
  <c r="H508" i="2"/>
  <c r="I507" i="2"/>
  <c r="H507" i="2"/>
  <c r="I506" i="2"/>
  <c r="H506" i="2"/>
  <c r="I505" i="2"/>
  <c r="H505" i="2"/>
  <c r="I504" i="2"/>
  <c r="H504" i="2"/>
  <c r="I503" i="2"/>
  <c r="H503" i="2"/>
  <c r="I502" i="2"/>
  <c r="H502" i="2"/>
  <c r="I501" i="2"/>
  <c r="H501" i="2"/>
  <c r="I500" i="2"/>
  <c r="H500" i="2"/>
  <c r="I499" i="2"/>
  <c r="H499" i="2"/>
  <c r="I498" i="2"/>
  <c r="H498" i="2"/>
  <c r="I497" i="2"/>
  <c r="H497" i="2"/>
  <c r="I496" i="2"/>
  <c r="H496" i="2"/>
  <c r="I495" i="2"/>
  <c r="H495" i="2"/>
  <c r="I494" i="2"/>
  <c r="H494" i="2"/>
  <c r="I493" i="2"/>
  <c r="H493" i="2"/>
  <c r="I492" i="2"/>
  <c r="H492" i="2"/>
  <c r="I491" i="2"/>
  <c r="H491" i="2"/>
  <c r="I490" i="2"/>
  <c r="H490" i="2"/>
  <c r="I489" i="2"/>
  <c r="H489" i="2"/>
  <c r="I488" i="2"/>
  <c r="H488" i="2"/>
  <c r="I487" i="2"/>
  <c r="H487" i="2"/>
  <c r="I486" i="2"/>
  <c r="H486" i="2"/>
  <c r="I485" i="2"/>
  <c r="H485" i="2"/>
  <c r="I484" i="2"/>
  <c r="H484" i="2"/>
  <c r="I483" i="2"/>
  <c r="H483" i="2"/>
  <c r="I482" i="2"/>
  <c r="H482" i="2"/>
  <c r="I481" i="2"/>
  <c r="H481" i="2"/>
  <c r="I480" i="2"/>
  <c r="H480" i="2"/>
  <c r="I479" i="2"/>
  <c r="H479" i="2"/>
  <c r="I478" i="2"/>
  <c r="H478" i="2"/>
  <c r="I477" i="2"/>
  <c r="H477" i="2"/>
  <c r="I476" i="2"/>
  <c r="H476" i="2"/>
  <c r="I475" i="2"/>
  <c r="H475" i="2"/>
  <c r="I474" i="2"/>
  <c r="H474" i="2"/>
  <c r="I473" i="2"/>
  <c r="H473" i="2"/>
  <c r="I472" i="2"/>
  <c r="H472" i="2"/>
  <c r="I471" i="2"/>
  <c r="H471" i="2"/>
  <c r="I470" i="2"/>
  <c r="H470" i="2"/>
  <c r="I469" i="2"/>
  <c r="H469" i="2"/>
  <c r="I468" i="2"/>
  <c r="H468" i="2"/>
  <c r="I467" i="2"/>
  <c r="H467" i="2"/>
  <c r="I466" i="2"/>
  <c r="H466" i="2"/>
  <c r="I465" i="2"/>
  <c r="H465" i="2"/>
  <c r="I464" i="2"/>
  <c r="H464" i="2"/>
  <c r="I463" i="2"/>
  <c r="H463" i="2"/>
  <c r="I462" i="2"/>
  <c r="H462" i="2"/>
  <c r="I461" i="2"/>
  <c r="H461" i="2"/>
  <c r="I460" i="2"/>
  <c r="H460" i="2"/>
  <c r="I459" i="2"/>
  <c r="H459" i="2"/>
  <c r="I458" i="2"/>
  <c r="H458" i="2"/>
  <c r="I457" i="2"/>
  <c r="H457" i="2"/>
  <c r="I456" i="2"/>
  <c r="H456" i="2"/>
  <c r="I455" i="2"/>
  <c r="H455" i="2"/>
  <c r="I454" i="2"/>
  <c r="H454" i="2"/>
  <c r="I453" i="2"/>
  <c r="H453" i="2"/>
  <c r="I452" i="2"/>
  <c r="H452" i="2"/>
  <c r="I451" i="2"/>
  <c r="H451" i="2"/>
  <c r="I450" i="2"/>
  <c r="H450" i="2"/>
  <c r="I449" i="2"/>
  <c r="H449" i="2"/>
  <c r="I448" i="2"/>
  <c r="H448" i="2"/>
  <c r="I447" i="2"/>
  <c r="H447" i="2"/>
  <c r="I446" i="2"/>
  <c r="H446" i="2"/>
  <c r="I445" i="2"/>
  <c r="H445" i="2"/>
  <c r="I444" i="2"/>
  <c r="H444" i="2"/>
  <c r="I443" i="2"/>
  <c r="H443" i="2"/>
  <c r="I442" i="2"/>
  <c r="H442" i="2"/>
  <c r="I441" i="2"/>
  <c r="H441" i="2"/>
  <c r="I440" i="2"/>
  <c r="H440" i="2"/>
  <c r="I439" i="2"/>
  <c r="H439" i="2"/>
  <c r="I438" i="2"/>
  <c r="H438" i="2"/>
  <c r="I437" i="2"/>
  <c r="H437" i="2"/>
  <c r="I436" i="2"/>
  <c r="H436" i="2"/>
  <c r="I435" i="2"/>
  <c r="H435" i="2"/>
  <c r="I434" i="2"/>
  <c r="H434" i="2"/>
  <c r="I433" i="2"/>
  <c r="H433" i="2"/>
  <c r="I432" i="2"/>
  <c r="H432" i="2"/>
  <c r="I431" i="2"/>
  <c r="H431" i="2"/>
  <c r="I430" i="2"/>
  <c r="H430" i="2"/>
  <c r="I429" i="2"/>
  <c r="H429" i="2"/>
  <c r="I428" i="2"/>
  <c r="H428" i="2"/>
  <c r="I427" i="2"/>
  <c r="H427" i="2"/>
  <c r="I426" i="2"/>
  <c r="H426" i="2"/>
  <c r="I425" i="2"/>
  <c r="H425" i="2"/>
  <c r="I424" i="2"/>
  <c r="H424" i="2"/>
  <c r="I423" i="2"/>
  <c r="H423" i="2"/>
  <c r="I422" i="2"/>
  <c r="H422" i="2"/>
  <c r="I421" i="2"/>
  <c r="H421" i="2"/>
  <c r="I420" i="2"/>
  <c r="H420" i="2"/>
  <c r="I419" i="2"/>
  <c r="H419" i="2"/>
  <c r="I418" i="2"/>
  <c r="H418" i="2"/>
  <c r="I417" i="2"/>
  <c r="H417" i="2"/>
  <c r="I416" i="2"/>
  <c r="H416" i="2"/>
  <c r="I415" i="2"/>
  <c r="H415" i="2"/>
  <c r="I414" i="2"/>
  <c r="H414" i="2"/>
  <c r="I413" i="2"/>
  <c r="H413" i="2"/>
  <c r="I412" i="2"/>
  <c r="H412" i="2"/>
  <c r="I411" i="2"/>
  <c r="H411" i="2"/>
  <c r="I410" i="2"/>
  <c r="H410" i="2"/>
  <c r="I409" i="2"/>
  <c r="H409" i="2"/>
  <c r="I408" i="2"/>
  <c r="H408" i="2"/>
  <c r="I407" i="2"/>
  <c r="H407" i="2"/>
  <c r="I406" i="2"/>
  <c r="H406" i="2"/>
  <c r="I405" i="2"/>
  <c r="H405" i="2"/>
  <c r="I404" i="2"/>
  <c r="H404" i="2"/>
  <c r="I403" i="2"/>
  <c r="H403" i="2"/>
  <c r="I402" i="2"/>
  <c r="H402" i="2"/>
  <c r="I401" i="2"/>
  <c r="H401" i="2"/>
  <c r="I400" i="2"/>
  <c r="H400" i="2"/>
  <c r="I399" i="2"/>
  <c r="H399" i="2"/>
  <c r="I398" i="2"/>
  <c r="H398" i="2"/>
  <c r="I397" i="2"/>
  <c r="H397" i="2"/>
  <c r="I396" i="2"/>
  <c r="H396" i="2"/>
  <c r="I395" i="2"/>
  <c r="H395" i="2"/>
  <c r="I394" i="2"/>
  <c r="H394" i="2"/>
  <c r="I393" i="2"/>
  <c r="H393" i="2"/>
  <c r="I392" i="2"/>
  <c r="H392" i="2"/>
  <c r="I391" i="2"/>
  <c r="H391" i="2"/>
  <c r="I390" i="2"/>
  <c r="H390" i="2"/>
  <c r="I389" i="2"/>
  <c r="H389" i="2"/>
  <c r="I388" i="2"/>
  <c r="H388" i="2"/>
  <c r="I387" i="2"/>
  <c r="H387" i="2"/>
  <c r="I386" i="2"/>
  <c r="H386" i="2"/>
  <c r="I385" i="2"/>
  <c r="H385" i="2"/>
  <c r="I384" i="2"/>
  <c r="H384" i="2"/>
  <c r="I383" i="2"/>
  <c r="H383" i="2"/>
  <c r="I382" i="2"/>
  <c r="H382" i="2"/>
  <c r="I381" i="2"/>
  <c r="H381" i="2"/>
  <c r="I380" i="2"/>
  <c r="H380" i="2"/>
  <c r="I379" i="2"/>
  <c r="H379" i="2"/>
  <c r="I378" i="2"/>
  <c r="H378" i="2"/>
  <c r="I377" i="2"/>
  <c r="H377" i="2"/>
  <c r="I376" i="2"/>
  <c r="H376" i="2"/>
  <c r="I375" i="2"/>
  <c r="H375" i="2"/>
  <c r="I374" i="2"/>
  <c r="H374" i="2"/>
  <c r="I373" i="2"/>
  <c r="H373" i="2"/>
  <c r="I372" i="2"/>
  <c r="H372" i="2"/>
  <c r="I371" i="2"/>
  <c r="H371" i="2"/>
  <c r="I370" i="2"/>
  <c r="H370" i="2"/>
  <c r="I369" i="2"/>
  <c r="H369" i="2"/>
  <c r="I368" i="2"/>
  <c r="H368" i="2"/>
  <c r="I367" i="2"/>
  <c r="H367" i="2"/>
  <c r="I366" i="2"/>
  <c r="H366" i="2"/>
  <c r="I365" i="2"/>
  <c r="H365" i="2"/>
  <c r="I364" i="2"/>
  <c r="H364" i="2"/>
  <c r="I363" i="2"/>
  <c r="H363" i="2"/>
  <c r="I362" i="2"/>
  <c r="H362" i="2"/>
  <c r="I361" i="2"/>
  <c r="H361" i="2"/>
  <c r="I360" i="2"/>
  <c r="H360" i="2"/>
  <c r="I359" i="2"/>
  <c r="H359" i="2"/>
  <c r="I358" i="2"/>
  <c r="H358" i="2"/>
  <c r="I357" i="2"/>
  <c r="H357" i="2"/>
  <c r="I356" i="2"/>
  <c r="H356" i="2"/>
  <c r="I355" i="2"/>
  <c r="H355" i="2"/>
  <c r="I354" i="2"/>
  <c r="H354" i="2"/>
  <c r="I353" i="2"/>
  <c r="H353" i="2"/>
  <c r="I352" i="2"/>
  <c r="H352" i="2"/>
  <c r="I351" i="2"/>
  <c r="H351" i="2"/>
  <c r="I350" i="2"/>
  <c r="H350" i="2"/>
  <c r="I349" i="2"/>
  <c r="H349" i="2"/>
  <c r="I348" i="2"/>
  <c r="H348" i="2"/>
  <c r="I347" i="2"/>
  <c r="H347" i="2"/>
  <c r="I346" i="2"/>
  <c r="H346" i="2"/>
  <c r="I345" i="2"/>
  <c r="H345" i="2"/>
  <c r="I344" i="2"/>
  <c r="H344" i="2"/>
  <c r="I343" i="2"/>
  <c r="H343" i="2"/>
  <c r="I342" i="2"/>
  <c r="H342" i="2"/>
  <c r="I341" i="2"/>
  <c r="H341" i="2"/>
  <c r="I340" i="2"/>
  <c r="H340" i="2"/>
  <c r="I339" i="2"/>
  <c r="H339" i="2"/>
  <c r="I338" i="2"/>
  <c r="H338" i="2"/>
  <c r="I337" i="2"/>
  <c r="H337" i="2"/>
  <c r="I336" i="2"/>
  <c r="H336" i="2"/>
  <c r="I335" i="2"/>
  <c r="H335" i="2"/>
  <c r="I334" i="2"/>
  <c r="H334" i="2"/>
  <c r="I333" i="2"/>
  <c r="H333" i="2"/>
  <c r="I332" i="2"/>
  <c r="H332" i="2"/>
  <c r="I331" i="2"/>
  <c r="H331" i="2"/>
  <c r="I330" i="2"/>
  <c r="H330" i="2"/>
  <c r="I329" i="2"/>
  <c r="H329" i="2"/>
  <c r="I328" i="2"/>
  <c r="H328" i="2"/>
  <c r="I327" i="2"/>
  <c r="H327" i="2"/>
  <c r="I326" i="2"/>
  <c r="H326" i="2"/>
  <c r="I325" i="2"/>
  <c r="H325" i="2"/>
  <c r="I324" i="2"/>
  <c r="H324" i="2"/>
  <c r="I323" i="2"/>
  <c r="H323" i="2"/>
  <c r="I322" i="2"/>
  <c r="H322" i="2"/>
  <c r="I321" i="2"/>
  <c r="H321" i="2"/>
  <c r="I320" i="2"/>
  <c r="H320" i="2"/>
  <c r="I319" i="2"/>
  <c r="H319" i="2"/>
  <c r="I318" i="2"/>
  <c r="H318" i="2"/>
  <c r="I317" i="2"/>
  <c r="H317" i="2"/>
  <c r="I316" i="2"/>
  <c r="H316" i="2"/>
  <c r="I315" i="2"/>
  <c r="H315" i="2"/>
  <c r="I314" i="2"/>
  <c r="H314" i="2"/>
  <c r="I313" i="2"/>
  <c r="H313" i="2"/>
  <c r="I312" i="2"/>
  <c r="H312" i="2"/>
  <c r="I311" i="2"/>
  <c r="H311" i="2"/>
  <c r="I310" i="2"/>
  <c r="H310" i="2"/>
  <c r="I309" i="2"/>
  <c r="H309" i="2"/>
  <c r="I308" i="2"/>
  <c r="H308" i="2"/>
  <c r="I307" i="2"/>
  <c r="H307" i="2"/>
  <c r="I306" i="2"/>
  <c r="H306" i="2"/>
  <c r="I305" i="2"/>
  <c r="H305" i="2"/>
  <c r="I304" i="2"/>
  <c r="H304" i="2"/>
  <c r="I303" i="2"/>
  <c r="H303" i="2"/>
  <c r="I302" i="2"/>
  <c r="H302" i="2"/>
  <c r="I301" i="2"/>
  <c r="H301" i="2"/>
  <c r="I300" i="2"/>
  <c r="H300" i="2"/>
  <c r="I299" i="2"/>
  <c r="H299" i="2"/>
  <c r="I298" i="2"/>
  <c r="H298" i="2"/>
  <c r="I297" i="2"/>
  <c r="H297" i="2"/>
  <c r="I296" i="2"/>
  <c r="H296" i="2"/>
  <c r="I295" i="2"/>
  <c r="H295" i="2"/>
  <c r="I294" i="2"/>
  <c r="H294" i="2"/>
  <c r="I293" i="2"/>
  <c r="H293" i="2"/>
  <c r="I292" i="2"/>
  <c r="H292" i="2"/>
  <c r="I291" i="2"/>
  <c r="H291" i="2"/>
  <c r="I290" i="2"/>
  <c r="H290" i="2"/>
  <c r="I289" i="2"/>
  <c r="H289" i="2"/>
  <c r="I288" i="2"/>
  <c r="H288" i="2"/>
  <c r="I287" i="2"/>
  <c r="H287" i="2"/>
  <c r="I286" i="2"/>
  <c r="H286" i="2"/>
  <c r="I285" i="2"/>
  <c r="H285" i="2"/>
  <c r="I284" i="2"/>
  <c r="H284" i="2"/>
  <c r="I283" i="2"/>
  <c r="H283" i="2"/>
  <c r="I282" i="2"/>
  <c r="H282" i="2"/>
  <c r="I281" i="2"/>
  <c r="H281" i="2"/>
  <c r="I280" i="2"/>
  <c r="H280" i="2"/>
  <c r="I279" i="2"/>
  <c r="H279" i="2"/>
  <c r="I278" i="2"/>
  <c r="H278" i="2"/>
  <c r="I277" i="2"/>
  <c r="H277" i="2"/>
  <c r="I276" i="2"/>
  <c r="H276" i="2"/>
  <c r="I275" i="2"/>
  <c r="H275" i="2"/>
  <c r="I274" i="2"/>
  <c r="H274" i="2"/>
  <c r="I273" i="2"/>
  <c r="H273" i="2"/>
  <c r="I272" i="2"/>
  <c r="H272" i="2"/>
  <c r="I271" i="2"/>
  <c r="H271" i="2"/>
  <c r="I270" i="2"/>
  <c r="H270" i="2"/>
  <c r="I269" i="2"/>
  <c r="H269" i="2"/>
  <c r="I268" i="2"/>
  <c r="H268" i="2"/>
  <c r="I267" i="2"/>
  <c r="H267" i="2"/>
  <c r="I266" i="2"/>
  <c r="H266" i="2"/>
  <c r="I265" i="2"/>
  <c r="H265" i="2"/>
  <c r="I264" i="2"/>
  <c r="H264" i="2"/>
  <c r="I263" i="2"/>
  <c r="H263" i="2"/>
  <c r="I262" i="2"/>
  <c r="H262" i="2"/>
  <c r="I261" i="2"/>
  <c r="H261" i="2"/>
  <c r="I260" i="2"/>
  <c r="H260" i="2"/>
  <c r="I259" i="2"/>
  <c r="H259" i="2"/>
  <c r="I258" i="2"/>
  <c r="H258" i="2"/>
  <c r="I257" i="2"/>
  <c r="H257" i="2"/>
  <c r="I256" i="2"/>
  <c r="H256" i="2"/>
  <c r="I255" i="2"/>
  <c r="H255" i="2"/>
  <c r="I254" i="2"/>
  <c r="H254" i="2"/>
  <c r="I253" i="2"/>
  <c r="H253" i="2"/>
  <c r="I252" i="2"/>
  <c r="H252" i="2"/>
  <c r="I251" i="2"/>
  <c r="H251" i="2"/>
  <c r="I250" i="2"/>
  <c r="H250" i="2"/>
  <c r="I249" i="2"/>
  <c r="H249" i="2"/>
  <c r="I248" i="2"/>
  <c r="H248" i="2"/>
  <c r="I247" i="2"/>
  <c r="H247" i="2"/>
  <c r="I246" i="2"/>
  <c r="H246" i="2"/>
  <c r="I245" i="2"/>
  <c r="H245" i="2"/>
  <c r="I244" i="2"/>
  <c r="H244" i="2"/>
  <c r="I243" i="2"/>
  <c r="H243" i="2"/>
  <c r="I242" i="2"/>
  <c r="H242" i="2"/>
  <c r="I241" i="2"/>
  <c r="H241" i="2"/>
  <c r="I240" i="2"/>
  <c r="H240" i="2"/>
  <c r="I239" i="2"/>
  <c r="H239" i="2"/>
  <c r="I238" i="2"/>
  <c r="H238" i="2"/>
  <c r="I237" i="2"/>
  <c r="H237" i="2"/>
  <c r="I236" i="2"/>
  <c r="H236" i="2"/>
  <c r="I235" i="2"/>
  <c r="H235" i="2"/>
  <c r="I234" i="2"/>
  <c r="H234" i="2"/>
  <c r="I233" i="2"/>
  <c r="H233" i="2"/>
  <c r="I232" i="2"/>
  <c r="H232" i="2"/>
  <c r="I231" i="2"/>
  <c r="H231" i="2"/>
  <c r="I230" i="2"/>
  <c r="H230" i="2"/>
  <c r="I229" i="2"/>
  <c r="H229" i="2"/>
  <c r="I228" i="2"/>
  <c r="H228" i="2"/>
  <c r="I227" i="2"/>
  <c r="H227" i="2"/>
  <c r="I226" i="2"/>
  <c r="H226" i="2"/>
  <c r="I225" i="2"/>
  <c r="H225" i="2"/>
  <c r="I224" i="2"/>
  <c r="H224" i="2"/>
  <c r="I223" i="2"/>
  <c r="H223" i="2"/>
  <c r="I222" i="2"/>
  <c r="H222" i="2"/>
  <c r="I221" i="2"/>
  <c r="H221" i="2"/>
  <c r="I220" i="2"/>
  <c r="H220" i="2"/>
  <c r="I219" i="2"/>
  <c r="H219" i="2"/>
  <c r="I218" i="2"/>
  <c r="H218" i="2"/>
  <c r="I217" i="2"/>
  <c r="H217" i="2"/>
  <c r="I216" i="2"/>
  <c r="H216" i="2"/>
  <c r="I215" i="2"/>
  <c r="H215" i="2"/>
  <c r="I214" i="2"/>
  <c r="H214" i="2"/>
  <c r="I213" i="2"/>
  <c r="H213" i="2"/>
  <c r="I212" i="2"/>
  <c r="H212" i="2"/>
  <c r="I211" i="2"/>
  <c r="H211" i="2"/>
  <c r="I210" i="2"/>
  <c r="H210" i="2"/>
  <c r="I209" i="2"/>
  <c r="H209" i="2"/>
  <c r="I208" i="2"/>
  <c r="H208" i="2"/>
  <c r="I207" i="2"/>
  <c r="H207" i="2"/>
  <c r="I206" i="2"/>
  <c r="H206" i="2"/>
  <c r="I205" i="2"/>
  <c r="H205" i="2"/>
  <c r="I204" i="2"/>
  <c r="H204" i="2"/>
  <c r="I203" i="2"/>
  <c r="H203" i="2"/>
  <c r="I202" i="2"/>
  <c r="H202" i="2"/>
  <c r="I201" i="2"/>
  <c r="H201" i="2"/>
  <c r="I200" i="2"/>
  <c r="H200" i="2"/>
  <c r="I199" i="2"/>
  <c r="H199" i="2"/>
  <c r="I198" i="2"/>
  <c r="H198" i="2"/>
  <c r="I197" i="2"/>
  <c r="H197" i="2"/>
  <c r="I196" i="2"/>
  <c r="H196" i="2"/>
  <c r="I195" i="2"/>
  <c r="H195" i="2"/>
  <c r="I194" i="2"/>
  <c r="H194" i="2"/>
  <c r="I193" i="2"/>
  <c r="H193" i="2"/>
  <c r="I192" i="2"/>
  <c r="H192" i="2"/>
  <c r="I191" i="2"/>
  <c r="H191" i="2"/>
  <c r="I190" i="2"/>
  <c r="H190" i="2"/>
  <c r="I189" i="2"/>
  <c r="H189" i="2"/>
  <c r="I188" i="2"/>
  <c r="H188" i="2"/>
  <c r="I187" i="2"/>
  <c r="H187" i="2"/>
  <c r="I186" i="2"/>
  <c r="H186" i="2"/>
  <c r="I185" i="2"/>
  <c r="H185" i="2"/>
  <c r="I184" i="2"/>
  <c r="H184" i="2"/>
  <c r="I183" i="2"/>
  <c r="H183" i="2"/>
  <c r="I182" i="2"/>
  <c r="H182" i="2"/>
  <c r="I181" i="2"/>
  <c r="H181" i="2"/>
  <c r="I180" i="2"/>
  <c r="H180" i="2"/>
  <c r="I179" i="2"/>
  <c r="H179" i="2"/>
  <c r="I178" i="2"/>
  <c r="H178" i="2"/>
  <c r="I177" i="2"/>
  <c r="H177" i="2"/>
  <c r="I176" i="2"/>
  <c r="H176" i="2"/>
  <c r="I175" i="2"/>
  <c r="H175" i="2"/>
  <c r="I174" i="2"/>
  <c r="H174" i="2"/>
  <c r="I173" i="2"/>
  <c r="H173" i="2"/>
  <c r="I172" i="2"/>
  <c r="H172" i="2"/>
  <c r="I171" i="2"/>
  <c r="H171" i="2"/>
  <c r="I170" i="2"/>
  <c r="H170" i="2"/>
  <c r="I169" i="2"/>
  <c r="H169" i="2"/>
  <c r="I168" i="2"/>
  <c r="H168" i="2"/>
  <c r="I167" i="2"/>
  <c r="H167" i="2"/>
  <c r="I166" i="2"/>
  <c r="H166" i="2"/>
  <c r="I165" i="2"/>
  <c r="H165" i="2"/>
  <c r="I164" i="2"/>
  <c r="H164" i="2"/>
  <c r="I163" i="2"/>
  <c r="H163" i="2"/>
  <c r="I162" i="2"/>
  <c r="H162" i="2"/>
  <c r="I161" i="2"/>
  <c r="H161" i="2"/>
  <c r="I160" i="2"/>
  <c r="H160" i="2"/>
  <c r="I159" i="2"/>
  <c r="H159" i="2"/>
  <c r="I158" i="2"/>
  <c r="H158" i="2"/>
  <c r="I157" i="2"/>
  <c r="H157" i="2"/>
  <c r="I156" i="2"/>
  <c r="H156" i="2"/>
  <c r="I155" i="2"/>
  <c r="H155" i="2"/>
  <c r="I154" i="2"/>
  <c r="H154" i="2"/>
  <c r="I153" i="2"/>
  <c r="H153" i="2"/>
  <c r="I152" i="2"/>
  <c r="H152" i="2"/>
  <c r="I151" i="2"/>
  <c r="H151" i="2"/>
  <c r="I150" i="2"/>
  <c r="H150" i="2"/>
  <c r="I149" i="2"/>
  <c r="H149" i="2"/>
  <c r="I148" i="2"/>
  <c r="H148" i="2"/>
  <c r="I147" i="2"/>
  <c r="H147" i="2"/>
  <c r="I146" i="2"/>
  <c r="H146" i="2"/>
  <c r="I145" i="2"/>
  <c r="H145" i="2"/>
  <c r="I144" i="2"/>
  <c r="H144" i="2"/>
  <c r="I143" i="2"/>
  <c r="H143" i="2"/>
  <c r="I142" i="2"/>
  <c r="H142" i="2"/>
  <c r="I141" i="2"/>
  <c r="H141" i="2"/>
  <c r="I140" i="2"/>
  <c r="H140" i="2"/>
  <c r="I139" i="2"/>
  <c r="H139" i="2"/>
  <c r="I138" i="2"/>
  <c r="H138" i="2"/>
  <c r="I137" i="2"/>
  <c r="H137" i="2"/>
  <c r="I136" i="2"/>
  <c r="H136" i="2"/>
  <c r="I135" i="2"/>
  <c r="H135" i="2"/>
  <c r="I134" i="2"/>
  <c r="H134" i="2"/>
  <c r="I133" i="2"/>
  <c r="H133" i="2"/>
  <c r="I132" i="2"/>
  <c r="H132" i="2"/>
  <c r="I131" i="2"/>
  <c r="H131" i="2"/>
  <c r="I130" i="2"/>
  <c r="H130" i="2"/>
  <c r="I129" i="2"/>
  <c r="H129" i="2"/>
  <c r="I128" i="2"/>
  <c r="H128" i="2"/>
  <c r="I127" i="2"/>
  <c r="H127" i="2"/>
  <c r="I126" i="2"/>
  <c r="H126" i="2"/>
  <c r="I125" i="2"/>
  <c r="H125" i="2"/>
  <c r="I124" i="2"/>
  <c r="H124" i="2"/>
  <c r="I123" i="2"/>
  <c r="H123" i="2"/>
  <c r="I122" i="2"/>
  <c r="H122" i="2"/>
  <c r="I121" i="2"/>
  <c r="H121" i="2"/>
  <c r="I120" i="2"/>
  <c r="H120" i="2"/>
  <c r="I119" i="2"/>
  <c r="H119" i="2"/>
  <c r="I118" i="2"/>
  <c r="H118" i="2"/>
  <c r="I117" i="2"/>
  <c r="H117" i="2"/>
  <c r="I116" i="2"/>
  <c r="H116" i="2"/>
  <c r="I115" i="2"/>
  <c r="H115" i="2"/>
  <c r="I114" i="2"/>
  <c r="H114" i="2"/>
  <c r="I113" i="2"/>
  <c r="H113" i="2"/>
  <c r="I112" i="2"/>
  <c r="H112" i="2"/>
  <c r="I111" i="2"/>
  <c r="H111" i="2"/>
  <c r="I110" i="2"/>
  <c r="H110" i="2"/>
  <c r="I109" i="2"/>
  <c r="H109" i="2"/>
  <c r="I108" i="2"/>
  <c r="H108" i="2"/>
  <c r="I107" i="2"/>
  <c r="H107" i="2"/>
  <c r="I106" i="2"/>
  <c r="H106" i="2"/>
  <c r="I105" i="2"/>
  <c r="H105" i="2"/>
  <c r="I104" i="2"/>
  <c r="H104" i="2"/>
  <c r="I103" i="2"/>
  <c r="H103" i="2"/>
  <c r="I102" i="2"/>
  <c r="H102" i="2"/>
  <c r="I101" i="2"/>
  <c r="H101" i="2"/>
  <c r="I100" i="2"/>
  <c r="H100" i="2"/>
  <c r="I99" i="2"/>
  <c r="H99" i="2"/>
  <c r="I98" i="2"/>
  <c r="H98" i="2"/>
  <c r="I97" i="2"/>
  <c r="H97" i="2"/>
  <c r="I96" i="2"/>
  <c r="H96" i="2"/>
  <c r="I95" i="2"/>
  <c r="H95" i="2"/>
  <c r="I94" i="2"/>
  <c r="H94" i="2"/>
  <c r="I93" i="2"/>
  <c r="H93" i="2"/>
  <c r="I92" i="2"/>
  <c r="H92" i="2"/>
  <c r="I91" i="2"/>
  <c r="H91" i="2"/>
  <c r="I90" i="2"/>
  <c r="H90" i="2"/>
  <c r="I89" i="2"/>
  <c r="H89" i="2"/>
  <c r="I88" i="2"/>
  <c r="H88" i="2"/>
  <c r="I87" i="2"/>
  <c r="H87" i="2"/>
  <c r="I86" i="2"/>
  <c r="H86" i="2"/>
  <c r="I85" i="2"/>
  <c r="H85" i="2"/>
  <c r="I84" i="2"/>
  <c r="H84" i="2"/>
  <c r="I83" i="2"/>
  <c r="H83" i="2"/>
  <c r="I82" i="2"/>
  <c r="H82" i="2"/>
  <c r="I81" i="2"/>
  <c r="H81" i="2"/>
  <c r="I80" i="2"/>
  <c r="H80" i="2"/>
  <c r="I79" i="2"/>
  <c r="H79" i="2"/>
  <c r="I78" i="2"/>
  <c r="H78" i="2"/>
  <c r="I77" i="2"/>
  <c r="H77" i="2"/>
  <c r="I76" i="2"/>
  <c r="H76" i="2"/>
  <c r="I75" i="2"/>
  <c r="H75" i="2"/>
  <c r="I74" i="2"/>
  <c r="H74" i="2"/>
  <c r="I73" i="2"/>
  <c r="H73" i="2"/>
  <c r="I72" i="2"/>
  <c r="H72" i="2"/>
  <c r="I71" i="2"/>
  <c r="H71" i="2"/>
  <c r="I70" i="2"/>
  <c r="H70" i="2"/>
  <c r="I69" i="2"/>
  <c r="H69" i="2"/>
  <c r="I68" i="2"/>
  <c r="H68" i="2"/>
  <c r="I67" i="2"/>
  <c r="H67" i="2"/>
  <c r="I66" i="2"/>
  <c r="H66" i="2"/>
  <c r="I65" i="2"/>
  <c r="H65" i="2"/>
  <c r="I64" i="2"/>
  <c r="H64" i="2"/>
  <c r="I63" i="2"/>
  <c r="H63" i="2"/>
  <c r="I62" i="2"/>
  <c r="H62" i="2"/>
  <c r="I61" i="2"/>
  <c r="H61" i="2"/>
  <c r="I60" i="2"/>
  <c r="H60" i="2"/>
  <c r="I59" i="2"/>
  <c r="H59" i="2"/>
  <c r="I58" i="2"/>
  <c r="H58" i="2"/>
  <c r="I57" i="2"/>
  <c r="H57" i="2"/>
  <c r="I56" i="2"/>
  <c r="H56" i="2"/>
  <c r="I55" i="2"/>
  <c r="H55" i="2"/>
  <c r="I54" i="2"/>
  <c r="H54" i="2"/>
  <c r="I53" i="2"/>
  <c r="H53" i="2"/>
  <c r="I52" i="2"/>
  <c r="H52" i="2"/>
  <c r="I51" i="2"/>
  <c r="H51" i="2"/>
  <c r="I50" i="2"/>
  <c r="H50" i="2"/>
  <c r="I49" i="2"/>
  <c r="H49" i="2"/>
  <c r="I48" i="2"/>
  <c r="H48" i="2"/>
  <c r="I47" i="2"/>
  <c r="H47" i="2"/>
  <c r="I46" i="2"/>
  <c r="H46" i="2"/>
  <c r="I45" i="2"/>
  <c r="H45" i="2"/>
  <c r="I44" i="2"/>
  <c r="H44" i="2"/>
  <c r="I43" i="2"/>
  <c r="H43" i="2"/>
  <c r="I42" i="2"/>
  <c r="H42" i="2"/>
  <c r="I41" i="2"/>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I3" i="2"/>
  <c r="H3" i="2"/>
  <c r="I2" i="2"/>
  <c r="H2" i="2"/>
  <c r="A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<sst xmlns="http://schemas.openxmlformats.org/spreadsheetml/2006/main" count="2375" uniqueCount="161">
  <si>
    <t>PRODUCT ID</t>
  </si>
  <si>
    <t>PRODUCT</t>
  </si>
  <si>
    <t>CATEGORY</t>
  </si>
  <si>
    <t>UOM</t>
  </si>
  <si>
    <t>BUYING PRIZE</t>
  </si>
  <si>
    <t>SELLING PRICE</t>
  </si>
  <si>
    <t>P0001</t>
  </si>
  <si>
    <t>Product01</t>
  </si>
  <si>
    <t>Category01</t>
  </si>
  <si>
    <t>Kg</t>
  </si>
  <si>
    <t>P0002</t>
  </si>
  <si>
    <t>Product02</t>
  </si>
  <si>
    <t>P0003</t>
  </si>
  <si>
    <t>Product03</t>
  </si>
  <si>
    <t>P0004</t>
  </si>
  <si>
    <t>Product04</t>
  </si>
  <si>
    <t>Lt</t>
  </si>
  <si>
    <t>P0005</t>
  </si>
  <si>
    <t>Product05</t>
  </si>
  <si>
    <t>Ft</t>
  </si>
  <si>
    <t>P0006</t>
  </si>
  <si>
    <t>Product06</t>
  </si>
  <si>
    <t>P0007</t>
  </si>
  <si>
    <t>Product07</t>
  </si>
  <si>
    <t>P0008</t>
  </si>
  <si>
    <t>Product08</t>
  </si>
  <si>
    <t>P0009</t>
  </si>
  <si>
    <t>Product09</t>
  </si>
  <si>
    <t>No.</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</si>
  <si>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</si>
  <si>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</si>
  <si>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</si>
  <si>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</si>
  <si>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</si>
  <si>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</si>
  <si>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</si>
  <si>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</si>
  <si>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</si>
  <si>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</si>
  <si>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</si>
  <si>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</si>
  <si>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</si>
  <si>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</si>
  <si>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</si>
  <si>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</si>
  <si>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</si>
  <si>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</si>
  <si>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</si>
  <si>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</si>
  <si>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</si>
  <si>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</si>
  <si>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</si>
  <si>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</si>
  <si>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</si>
  <si>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</si>
  <si>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</si>
  <si>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</si>
  <si>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</si>
  <si>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</si>
  <si>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</si>
  <si>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</si>
  <si>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</si>
  <si>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</si>
  <si>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</si>
  <si>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</si>
  <si>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</si>
  <si>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</si>
  <si>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</si>
  <si>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</si>
  <si>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</si>
  <si>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</si>
  <si>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</si>
  <si>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</si>
  <si>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</si>
  <si>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</si>
  <si>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</si>
  <si>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</si>
  <si>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</si>
  <si>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</si>
  <si>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</si>
  <si>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</si>
  <si>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</si>
  <si>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</si>
  <si>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</si>
  <si>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</si>
  <si>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</si>
  <si>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</si>
  <si>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</si>
  <si>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</si>
  <si>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</si>
  <si>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</si>
  <si>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</si>
  <si>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</si>
  <si>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</si>
  <si>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</si>
  <si>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</si>
  <si>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</si>
  <si>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</si>
  <si>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</si>
  <si>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</si>
  <si>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</si>
  <si>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</si>
  <si>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</si>
  <si>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P0045</t>
  </si>
  <si>
    <t>Product45</t>
  </si>
  <si>
    <t>DATE</t>
  </si>
  <si>
    <t>Month</t>
  </si>
  <si>
    <t>Day</t>
  </si>
  <si>
    <t>Year</t>
  </si>
  <si>
    <t>QUANTITY</t>
  </si>
  <si>
    <t>PAYMENT MODE</t>
  </si>
  <si>
    <t>Total Buying Price</t>
  </si>
  <si>
    <t>Total Selling Price</t>
  </si>
  <si>
    <t>Jan</t>
  </si>
  <si>
    <t>2021</t>
  </si>
  <si>
    <t>Online</t>
  </si>
  <si>
    <t>Graph</t>
  </si>
  <si>
    <t>Cash</t>
  </si>
  <si>
    <t>Month Wise Total Sale &amp; Profit (based on value)</t>
  </si>
  <si>
    <t>Day Wise Total Sale</t>
  </si>
  <si>
    <t>Payment mode wise sale percentage</t>
  </si>
  <si>
    <t>year wise sales percentage</t>
  </si>
  <si>
    <t>Card</t>
  </si>
  <si>
    <t>Total Sale Value</t>
  </si>
  <si>
    <t>Total Sale Qty</t>
  </si>
  <si>
    <t>Top Selling Product</t>
  </si>
  <si>
    <t>Profit %</t>
  </si>
  <si>
    <t>Feb</t>
  </si>
  <si>
    <t>Mar</t>
  </si>
  <si>
    <t>Apr</t>
  </si>
  <si>
    <t>May</t>
  </si>
  <si>
    <t>Jun</t>
  </si>
  <si>
    <t>Jul</t>
  </si>
  <si>
    <t>Aug</t>
  </si>
  <si>
    <t>Sep</t>
  </si>
  <si>
    <t>Oct</t>
  </si>
  <si>
    <t>Nov</t>
  </si>
  <si>
    <t>Dec</t>
  </si>
  <si>
    <t>2022</t>
  </si>
  <si>
    <t>Grand Total</t>
  </si>
  <si>
    <t>Row Labels</t>
  </si>
  <si>
    <t>Sum of Total Buying Price</t>
  </si>
  <si>
    <t>Sum of Total Selling Price</t>
  </si>
  <si>
    <t>TotalSales</t>
  </si>
  <si>
    <t>Profit</t>
  </si>
  <si>
    <t>Profit%</t>
  </si>
  <si>
    <t>JAN</t>
  </si>
  <si>
    <t>FEB</t>
  </si>
  <si>
    <t>MAR</t>
  </si>
  <si>
    <t>APR</t>
  </si>
  <si>
    <t>MAY</t>
  </si>
  <si>
    <t>JUN</t>
  </si>
  <si>
    <t>JUL</t>
  </si>
  <si>
    <t>AUG</t>
  </si>
  <si>
    <t>SEP</t>
  </si>
  <si>
    <t>OCT</t>
  </si>
  <si>
    <t>NOV</t>
  </si>
  <si>
    <t>DEC</t>
  </si>
  <si>
    <t>Sum of QUANTITY</t>
  </si>
  <si>
    <t>Total Profit</t>
  </si>
  <si>
    <t xml:space="preserve">offset given a referance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</si>
</sst>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sz val="11"/>
      <color theme="1"/>
      <name val="Calibri"/>
      <family val="2"/>
      <scheme val="minor"/>
    </font>
    <font>
      <b/>
      <sz val="11"/>
      <color rgb="FF7030A0"/>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E1CC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1" fillId="0" borderId="0"/>
  </cellStyleXfs>
  <cellXfs count="21">
    <xf numFmtId="0" fontId="0" fillId="0" borderId="0" xfId="0"/>
    <xf numFmtId="0" fontId="3" fillId="2" borderId="1" xfId="0" applyFont="1" applyFill="1" applyBorder="1" applyAlignment="1">
      <alignment horizontal="center" vertical="center"/>
    </xf>
    <xf numFmtId="0" fontId="0" fillId="0" borderId="1" xfId="0" applyBorder="1" applyAlignment="1">
      <alignment horizontal="center"/>
    </xf>
    <xf numFmtId="0" fontId="3" fillId="0" borderId="1" xfId="2" applyFont="1" applyBorder="1" applyAlignment="1">
      <alignment horizontal="center" vertical="center"/>
    </xf>
    <xf numFmtId="0" fontId="1" fillId="0" borderId="0" xfId="2" applyAlignment="1">
      <alignment horizontal="center"/>
    </xf>
    <xf numFmtId="0" fontId="1" fillId="0" borderId="0" xfId="2" applyAlignment="1">
      <alignment horizontal="center" vertical="center"/>
    </xf>
    <xf numFmtId="14" fontId="1" fillId="0" borderId="1" xfId="2" applyNumberFormat="1" applyBorder="1" applyAlignment="1">
      <alignment horizontal="center"/>
    </xf>
    <xf numFmtId="0" fontId="1" fillId="0" borderId="1" xfId="2" applyBorder="1" applyAlignment="1">
      <alignment horizontal="center" vertical="center"/>
    </xf>
    <xf numFmtId="0" fontId="1" fillId="0" borderId="1" xfId="2"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9" fontId="0" fillId="0" borderId="0" xfId="1" applyFont="1" applyAlignment="1">
      <alignment horizontal="center"/>
    </xf>
    <xf numFmtId="9" fontId="0" fillId="0" borderId="0" xfId="1" applyFont="1"/>
    <xf numFmtId="0" fontId="5" fillId="0" borderId="0" xfId="0" applyNumberFormat="1" applyFont="1"/>
    <xf numFmtId="0" fontId="1" fillId="0" borderId="1" xfId="2" applyNumberFormat="1" applyBorder="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5" fillId="0" borderId="0" xfId="0" applyFont="1" applyAlignment="1">
      <alignment horizontal="left"/>
    </xf>
  </cellXfs>
  <cellStyles count="3">
    <cellStyle name="Normal" xfId="0" builtinId="0"/>
    <cellStyle name="Normal 2" xfId="2" xr:uid="{270D74CB-7600-4DC6-8A77-DC70882FE1EC}"/>
    <cellStyle name="Percent" xfId="1" builtinId="5"/>
  </cellStyles>
  <dxfs count="12">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Sheet4!$F$3</c:f>
              <c:strCache>
                <c:ptCount val="1"/>
                <c:pt idx="0">
                  <c:v>TotalSales</c:v>
                </c:pt>
              </c:strCache>
            </c:strRef>
          </c:tx>
          <c:spPr>
            <a:solidFill>
              <a:schemeClr val="accent1"/>
            </a:solidFill>
            <a:ln>
              <a:noFill/>
            </a:ln>
            <a:effectLst/>
          </c:spPr>
          <c:invertIfNegative val="0"/>
          <c:cat>
            <c:strRef>
              <c:f>Sheet4!$E$4:$E$15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Sheet4!$F$4:$F$15</c:f>
              <c:numCache>
                <c:formatCode>General</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F8C2-41B2-9B6D-C9E1E25AD9D5}"/>
            </c:ext>
          </c:extLst>
        </c:ser>
        <c:ser>
          <c:idx val="1"/>
          <c:order val="1"/>
          <c:tx>
            <c:strRef>
              <c:f>Sheet4!$G$3</c:f>
              <c:strCache>
                <c:ptCount val="1"/>
                <c:pt idx="0">
                  <c:v>Profit</c:v>
                </c:pt>
              </c:strCache>
            </c:strRef>
          </c:tx>
          <c:spPr>
            <a:solidFill>
              <a:schemeClr val="accent2"/>
            </a:solidFill>
            <a:ln>
              <a:noFill/>
            </a:ln>
            <a:effectLst/>
          </c:spPr>
          <c:invertIfNegative val="0"/>
          <c:dLbls>
            <c:dLbl>
              <c:idx val="0"/>
              <c:tx>
                <c:rich>
                  <a:bodyPr/>
                  <a:lstStyle/>
                  <a:p>
                    <a:fld id="{E5274682-9CB2-4387-BD96-9C5D6295B40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8C2-41B2-9B6D-C9E1E25AD9D5}"/>
                </c:ext>
              </c:extLst>
            </c:dLbl>
            <c:dLbl>
              <c:idx val="1"/>
              <c:tx>
                <c:rich>
                  <a:bodyPr/>
                  <a:lstStyle/>
                  <a:p>
                    <a:fld id="{6054E5DE-F280-40D8-8329-CB6C8B19D40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8C2-41B2-9B6D-C9E1E25AD9D5}"/>
                </c:ext>
              </c:extLst>
            </c:dLbl>
            <c:dLbl>
              <c:idx val="2"/>
              <c:tx>
                <c:rich>
                  <a:bodyPr/>
                  <a:lstStyle/>
                  <a:p>
                    <a:fld id="{84EB633A-ED31-4788-81F2-85CFB8A807A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8C2-41B2-9B6D-C9E1E25AD9D5}"/>
                </c:ext>
              </c:extLst>
            </c:dLbl>
            <c:dLbl>
              <c:idx val="3"/>
              <c:tx>
                <c:rich>
                  <a:bodyPr/>
                  <a:lstStyle/>
                  <a:p>
                    <a:fld id="{43AD6ABE-1BA4-451B-8FCB-D24539838F40}"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C2-41B2-9B6D-C9E1E25AD9D5}"/>
                </c:ext>
              </c:extLst>
            </c:dLbl>
            <c:dLbl>
              <c:idx val="4"/>
              <c:tx>
                <c:rich>
                  <a:bodyPr/>
                  <a:lstStyle/>
                  <a:p>
                    <a:fld id="{578391C4-8B75-48EC-A2C4-F262A5B9CC3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C2-41B2-9B6D-C9E1E25AD9D5}"/>
                </c:ext>
              </c:extLst>
            </c:dLbl>
            <c:dLbl>
              <c:idx val="5"/>
              <c:tx>
                <c:rich>
                  <a:bodyPr/>
                  <a:lstStyle/>
                  <a:p>
                    <a:fld id="{C894DDA0-E3C4-4E38-B31F-445307BEF9B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8C2-41B2-9B6D-C9E1E25AD9D5}"/>
                </c:ext>
              </c:extLst>
            </c:dLbl>
            <c:dLbl>
              <c:idx val="6"/>
              <c:tx>
                <c:rich>
                  <a:bodyPr/>
                  <a:lstStyle/>
                  <a:p>
                    <a:fld id="{808D42AF-7516-414E-8B91-A1734CB26F3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8C2-41B2-9B6D-C9E1E25AD9D5}"/>
                </c:ext>
              </c:extLst>
            </c:dLbl>
            <c:dLbl>
              <c:idx val="7"/>
              <c:tx>
                <c:rich>
                  <a:bodyPr/>
                  <a:lstStyle/>
                  <a:p>
                    <a:fld id="{DDAB5820-C4BB-4E23-8962-B07DA93E4EE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8C2-41B2-9B6D-C9E1E25AD9D5}"/>
                </c:ext>
              </c:extLst>
            </c:dLbl>
            <c:dLbl>
              <c:idx val="8"/>
              <c:tx>
                <c:rich>
                  <a:bodyPr/>
                  <a:lstStyle/>
                  <a:p>
                    <a:fld id="{016CD1FE-C5C7-4633-8AE8-BF9A35BB925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8C2-41B2-9B6D-C9E1E25AD9D5}"/>
                </c:ext>
              </c:extLst>
            </c:dLbl>
            <c:dLbl>
              <c:idx val="9"/>
              <c:tx>
                <c:rich>
                  <a:bodyPr/>
                  <a:lstStyle/>
                  <a:p>
                    <a:fld id="{2F023DBB-A053-4FB1-A128-4683ACA4BE3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8C2-41B2-9B6D-C9E1E25AD9D5}"/>
                </c:ext>
              </c:extLst>
            </c:dLbl>
            <c:dLbl>
              <c:idx val="10"/>
              <c:tx>
                <c:rich>
                  <a:bodyPr/>
                  <a:lstStyle/>
                  <a:p>
                    <a:fld id="{0F02F199-8FB2-49B1-B0EE-2500C919B46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8C2-41B2-9B6D-C9E1E25AD9D5}"/>
                </c:ext>
              </c:extLst>
            </c:dLbl>
            <c:dLbl>
              <c:idx val="11"/>
              <c:tx>
                <c:rich>
                  <a:bodyPr/>
                  <a:lstStyle/>
                  <a:p>
                    <a:fld id="{7D376DA8-F774-4216-A93B-16E3C5294F50}"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8C2-41B2-9B6D-C9E1E25AD9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Sheet4!$E$4:$E$15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Sheet4!$G$4:$G$15</c:f>
              <c:numCache>
                <c:formatCode>General</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Sheet4!$H$4:$H$15</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F8C2-41B2-9B6D-C9E1E25AD9D5}"/>
            </c:ext>
          </c:extLst>
        </c:ser>
        <c:dLbls>
          <c:showLegendKey val="0"/>
          <c:showVal val="0"/>
          <c:showCatName val="0"/>
          <c:showSerName val="0"/>
          <c:showPercent val="0"/>
          <c:showBubbleSize val="0"/>
        </c:dLbls>
        <c:gapWidth val="45"/>
        <c:overlap val="100"/>
        <c:axId val="628164447"/>
        <c:axId val="628156543"/>
      </c:barChart>
      <c:catAx>
        <c:axId val="628164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156543"/>
        <c:crosses val="autoZero"/>
        <c:auto val="1"/>
        <c:lblAlgn val="ctr"/>
        <c:lblOffset val="100"/>
        <c:noMultiLvlLbl val="0"/>
      </c:catAx>
      <c:valAx>
        <c:axId val="6281565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16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Retail Sales Project.xlsx]Sheet4!PivotTable3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60194125058167E-2"/>
          <c:y val="7.587168425431054E-2"/>
          <c:w val="0.90558957616894875"/>
          <c:h val="0.8378324893604151"/>
        </c:manualLayout>
      </c:layout>
      <c:lineChart>
        <c:grouping val="standard"/>
        <c:varyColors val="0"/>
        <c:ser>
          <c:idx val="0"/>
          <c:order val="0"/>
          <c:tx>
            <c:strRef>
              <c:f>Sheet4!$K$12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Sheet4!$J$13:$J$44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Sheet4!$K$13:$K$44</c:f>
              <c:numCache>
                <c:formatCode>General</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smooth val="0"/>
          <c:extLst>
            <c:ext xmlns:c16="http://schemas.microsoft.com/office/drawing/2014/chart" uri="{C3380CC4-5D6E-409C-BE32-E72D297353CC}">
              <c16:uniqueId val="{00000000-9C20-449F-94EB-3C4FF870C19D}"/>
            </c:ext>
          </c:extLst>
        </c:ser>
        <c:dLbls>
          <c:showLegendKey val="0"/>
          <c:showVal val="0"/>
          <c:showCatName val="0"/>
          <c:showSerName val="0"/>
          <c:showPercent val="0"/>
          <c:showBubbleSize val="0"/>
        </c:dLbls>
        <c:smooth val="0"/>
        <c:axId val="101114015"/>
        <c:axId val="101121503"/>
      </c:lineChart>
      <c:catAx>
        <c:axId val="1011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21503"/>
        <c:crosses val="autoZero"/>
        <c:auto val="1"/>
        <c:lblAlgn val="ctr"/>
        <c:lblOffset val="100"/>
        <c:noMultiLvlLbl val="0"/>
      </c:catAx>
      <c:valAx>
        <c:axId val="101121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Retail Sales Project.xlsx]Sheet4!Paymet Mode %</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Sheet4!$F$18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C-4056-9215-7BB943E8B9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C-4056-9215-7BB943E8B9D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Sheet4!$E$19:$E$21</c:f>
              <c:strCache>
                <c:ptCount val="2"/>
                <c:pt idx="0">
                  <c:v>Cash</c:v>
                </c:pt>
                <c:pt idx="1">
                  <c:v>Online</c:v>
                </c:pt>
              </c:strCache>
            </c:strRef>
          </c:cat>
          <c:val>
            <c:numRef>
              <c:f>Sheet4!$F$19:$F$21</c:f>
              <c:numCache>
                <c:formatCode>General</c:formatCode>
                <c:ptCount val="2"/>
                <c:pt idx="0">
                  <c:v>199516.90000000008</c:v>
                </c:pt>
                <c:pt idx="1">
                  <c:v>201895.01999999993</c:v>
                </c:pt>
              </c:numCache>
            </c:numRef>
          </c:val>
          <c:extLst>
            <c:ext xmlns:c16="http://schemas.microsoft.com/office/drawing/2014/chart" uri="{C3380CC4-5D6E-409C-BE32-E72D297353CC}">
              <c16:uniqueId val="{00000004-22DC-4056-9215-7BB943E8B9D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Retail Sales Project.xlsx]Sheet4!PivotTable5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Sheet4!$F$25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62-42BA-B430-89A2D2238A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62-42BA-B430-89A2D2238AF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Sheet4!$E$26:$E$28</c:f>
              <c:strCache>
                <c:ptCount val="2"/>
                <c:pt idx="0">
                  <c:v>2021</c:v>
                </c:pt>
                <c:pt idx="1">
                  <c:v>2022</c:v>
                </c:pt>
              </c:strCache>
            </c:strRef>
          </c:cat>
          <c:val>
            <c:numRef>
              <c:f>Sheet4!$F$26:$F$28</c:f>
              <c:numCache>
                <c:formatCode>General</c:formatCode>
                <c:ptCount val="2"/>
                <c:pt idx="0">
                  <c:v>187284.31999999995</c:v>
                </c:pt>
                <c:pt idx="1">
                  <c:v>214127.59999999998</c:v>
                </c:pt>
              </c:numCache>
            </c:numRef>
          </c:val>
          <c:extLst>
            <c:ext xmlns:c16="http://schemas.microsoft.com/office/drawing/2014/chart" uri="{C3380CC4-5D6E-409C-BE32-E72D297353CC}">
              <c16:uniqueId val="{00000004-B862-42BA-B430-89A2D2238AF8}"/>
            </c:ext>
          </c:extLst>
        </c:ser>
        <c:dLbls>
          <c:showLegendKey val="0"/>
          <c:showVal val="1"/>
          <c:showCatName val="0"/>
          <c:showSerName val="0"/>
          <c:showPercent val="0"/>
          <c:showBubbleSize val="0"/>
          <c:showLeaderLines val="1"/>
        </c:dLbls>
        <c:firstSliceAng val="0"/>
        <c:holeSize val="5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5C90B963-C554-4C66-8E49-79AD1E13E05C}">
          <cx:tx>
            <cx:txData>
              <cx:f>_xlchart.v1.1</cx:f>
              <cx:v>Sum of Total Selling Price</cx:v>
            </cx:txData>
          </cx:tx>
          <cx:dataLabels>
            <cx:txPr>
              <a:bodyPr spcFirstLastPara="1" vertOverflow="ellipsis" horzOverflow="overflow" wrap="square" lIns="0" tIns="0" rIns="0" bIns="0" anchor="ctr" anchorCtr="1"/>
              <a:lstStyle/>
              <a:p>
                <a:pPr algn="ctr" rtl="0">
                  <a:defRPr sz="1200" b="0">
                    <a:ln>
                      <a:solidFill>
                        <a:srgbClr val="FFFFFF"/>
                      </a:solidFill>
                    </a:ln>
                  </a:defRPr>
                </a:pPr>
                <a:endParaRPr lang="en-US" sz="1200" b="0" i="0" u="none" strike="noStrike" baseline="0">
                  <a:ln>
                    <a:solidFill>
                      <a:srgbClr val="FFFFFF"/>
                    </a:solidFill>
                  </a:ln>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png"/><Relationship Id="rId12" Type="http://schemas.openxmlformats.org/officeDocument/2006/relationships/image" Target="../media/image10.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svg"/><Relationship Id="rId15" Type="http://schemas.microsoft.com/office/2014/relationships/chartEx" Target="../charts/chartEx1.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414618</xdr:colOff>
      <xdr:row>8</xdr:row>
      <xdr:rowOff>67235</xdr:rowOff>
    </xdr:from>
    <xdr:to>
      <xdr:col>22</xdr:col>
      <xdr:colOff>515470</xdr:colOff>
      <xdr:row>48</xdr:row>
      <xdr:rowOff>-1</xdr:rowOff>
    </xdr:to>
    <xdr:sp macro="" textlink="">
      <xdr:nvSpPr>
        <xdr:cNvPr id="2" name="Rectangle: Rounded Corners 1">
          <a:extLst>
            <a:ext uri="{FF2B5EF4-FFF2-40B4-BE49-F238E27FC236}">
              <a16:creationId xmlns:a16="http://schemas.microsoft.com/office/drawing/2014/main" id="{BCDCD4B3-C09B-4265-8590-6A38F942F327}"/>
            </a:ext>
          </a:extLst>
        </xdr:cNvPr>
        <xdr:cNvSpPr/>
      </xdr:nvSpPr>
      <xdr:spPr>
        <a:xfrm>
          <a:off x="414618" y="1501588"/>
          <a:ext cx="13413440" cy="7104529"/>
        </a:xfrm>
        <a:prstGeom prst="roundRect">
          <a:avLst>
            <a:gd name="adj" fmla="val 3812"/>
          </a:avLst>
        </a:prstGeom>
        <a:solidFill>
          <a:schemeClr val="accent1">
            <a:lumMod val="40000"/>
            <a:lumOff val="60000"/>
          </a:schemeClr>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224119</xdr:colOff>
      <xdr:row>30</xdr:row>
      <xdr:rowOff>174168</xdr:rowOff>
    </xdr:from>
    <xdr:to>
      <xdr:col>22</xdr:col>
      <xdr:colOff>425825</xdr:colOff>
      <xdr:row>47</xdr:row>
      <xdr:rowOff>78441</xdr:rowOff>
    </xdr:to>
    <xdr:sp macro="" textlink="">
      <xdr:nvSpPr>
        <xdr:cNvPr id="3" name="Rectangle 2">
          <a:extLst>
            <a:ext uri="{FF2B5EF4-FFF2-40B4-BE49-F238E27FC236}">
              <a16:creationId xmlns:a16="http://schemas.microsoft.com/office/drawing/2014/main" id="{9CAF8B33-D534-4E3A-8E5C-5C61207916CC}"/>
            </a:ext>
          </a:extLst>
        </xdr:cNvPr>
        <xdr:cNvSpPr/>
      </xdr:nvSpPr>
      <xdr:spPr>
        <a:xfrm>
          <a:off x="9300884" y="5552992"/>
          <a:ext cx="4437529" cy="2952273"/>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334053</xdr:colOff>
      <xdr:row>33</xdr:row>
      <xdr:rowOff>89646</xdr:rowOff>
    </xdr:from>
    <xdr:to>
      <xdr:col>22</xdr:col>
      <xdr:colOff>347384</xdr:colOff>
      <xdr:row>47</xdr:row>
      <xdr:rowOff>80492</xdr:rowOff>
    </xdr:to>
    <xdr:graphicFrame macro="">
      <xdr:nvGraphicFramePr>
        <xdr:cNvPr id="4" name="Chart 3">
          <a:extLst>
            <a:ext uri="{FF2B5EF4-FFF2-40B4-BE49-F238E27FC236}">
              <a16:creationId xmlns:a16="http://schemas.microsoft.com/office/drawing/2014/main" id="{B87A455F-786A-483E-AFBA-FEC7B4AA8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190501</xdr:colOff>
      <xdr:row>31</xdr:row>
      <xdr:rowOff>67234</xdr:rowOff>
    </xdr:from>
    <xdr:to>
      <xdr:col>22</xdr:col>
      <xdr:colOff>302560</xdr:colOff>
      <xdr:row>33</xdr:row>
      <xdr:rowOff>44596</xdr:rowOff>
    </xdr:to>
    <xdr:sp macro="" textlink="">
      <xdr:nvSpPr>
        <xdr:cNvPr id="5" name="TextBox 4">
          <a:extLst>
            <a:ext uri="{FF2B5EF4-FFF2-40B4-BE49-F238E27FC236}">
              <a16:creationId xmlns:a16="http://schemas.microsoft.com/office/drawing/2014/main" id="{FE53FD08-32C3-4025-AC72-D7BB14FE796A}"/>
            </a:ext>
          </a:extLst>
        </xdr:cNvPr>
        <xdr:cNvSpPr txBox="1"/>
      </xdr:nvSpPr>
      <xdr:spPr>
        <a:xfrm>
          <a:off x="9872383" y="5625352"/>
          <a:ext cx="3742765" cy="335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Month</a:t>
          </a:r>
          <a:r>
            <a:rPr lang="en-IN" sz="1600" b="1" baseline="0"/>
            <a:t> wise Sales vs Profits</a:t>
          </a:r>
          <a:endParaRPr lang="en-IN" sz="1600" b="1"/>
        </a:p>
      </xdr:txBody>
    </xdr:sp>
    <xdr:clientData/>
  </xdr:twoCellAnchor>
  <xdr:twoCellAnchor>
    <xdr:from>
      <xdr:col>15</xdr:col>
      <xdr:colOff>337956</xdr:colOff>
      <xdr:row>31</xdr:row>
      <xdr:rowOff>1</xdr:rowOff>
    </xdr:from>
    <xdr:to>
      <xdr:col>16</xdr:col>
      <xdr:colOff>68822</xdr:colOff>
      <xdr:row>33</xdr:row>
      <xdr:rowOff>18082</xdr:rowOff>
    </xdr:to>
    <xdr:pic>
      <xdr:nvPicPr>
        <xdr:cNvPr id="9" name="Graphic 8" descr="Daily calendar with solid fill">
          <a:extLst>
            <a:ext uri="{FF2B5EF4-FFF2-40B4-BE49-F238E27FC236}">
              <a16:creationId xmlns:a16="http://schemas.microsoft.com/office/drawing/2014/main" id="{21917C2A-6E15-4A63-B28E-0BD2065341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414721" y="5558119"/>
          <a:ext cx="335983" cy="376669"/>
        </a:xfrm>
        <a:prstGeom prst="rect">
          <a:avLst/>
        </a:prstGeom>
      </xdr:spPr>
    </xdr:pic>
    <xdr:clientData/>
  </xdr:twoCellAnchor>
  <xdr:twoCellAnchor editAs="oneCell">
    <xdr:from>
      <xdr:col>1</xdr:col>
      <xdr:colOff>22410</xdr:colOff>
      <xdr:row>26</xdr:row>
      <xdr:rowOff>156883</xdr:rowOff>
    </xdr:from>
    <xdr:to>
      <xdr:col>3</xdr:col>
      <xdr:colOff>44824</xdr:colOff>
      <xdr:row>47</xdr:row>
      <xdr:rowOff>-1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2A446B74-5798-4336-9F57-7BFDFD6B981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27528" y="4818530"/>
              <a:ext cx="1232649" cy="3608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32721</xdr:colOff>
      <xdr:row>20</xdr:row>
      <xdr:rowOff>165847</xdr:rowOff>
    </xdr:from>
    <xdr:to>
      <xdr:col>3</xdr:col>
      <xdr:colOff>67235</xdr:colOff>
      <xdr:row>26</xdr:row>
      <xdr:rowOff>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7997A30B-9978-435B-8BC7-36AF0BBE94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7839" y="3751729"/>
              <a:ext cx="1244749" cy="909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134472</xdr:colOff>
      <xdr:row>9</xdr:row>
      <xdr:rowOff>11205</xdr:rowOff>
    </xdr:from>
    <xdr:to>
      <xdr:col>22</xdr:col>
      <xdr:colOff>425825</xdr:colOff>
      <xdr:row>14</xdr:row>
      <xdr:rowOff>67235</xdr:rowOff>
    </xdr:to>
    <xdr:sp macro="" textlink="">
      <xdr:nvSpPr>
        <xdr:cNvPr id="17" name="Rectangle: Rounded Corners 16">
          <a:extLst>
            <a:ext uri="{FF2B5EF4-FFF2-40B4-BE49-F238E27FC236}">
              <a16:creationId xmlns:a16="http://schemas.microsoft.com/office/drawing/2014/main" id="{C72A471E-39D7-4D87-8545-C80FA94F595F}"/>
            </a:ext>
          </a:extLst>
        </xdr:cNvPr>
        <xdr:cNvSpPr/>
      </xdr:nvSpPr>
      <xdr:spPr>
        <a:xfrm>
          <a:off x="1949825" y="1624852"/>
          <a:ext cx="11788588" cy="952501"/>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369808</xdr:colOff>
      <xdr:row>9</xdr:row>
      <xdr:rowOff>78441</xdr:rowOff>
    </xdr:from>
    <xdr:to>
      <xdr:col>12</xdr:col>
      <xdr:colOff>268954</xdr:colOff>
      <xdr:row>14</xdr:row>
      <xdr:rowOff>-1</xdr:rowOff>
    </xdr:to>
    <xdr:grpSp>
      <xdr:nvGrpSpPr>
        <xdr:cNvPr id="6" name="Group 5">
          <a:extLst>
            <a:ext uri="{FF2B5EF4-FFF2-40B4-BE49-F238E27FC236}">
              <a16:creationId xmlns:a16="http://schemas.microsoft.com/office/drawing/2014/main" id="{C37E979F-00AC-4FCC-918B-3DF6E9078EB6}"/>
            </a:ext>
          </a:extLst>
        </xdr:cNvPr>
        <xdr:cNvGrpSpPr/>
      </xdr:nvGrpSpPr>
      <xdr:grpSpPr>
        <a:xfrm>
          <a:off x="5856208" y="1699423"/>
          <a:ext cx="1727946" cy="822103"/>
          <a:chOff x="2140324" y="1725706"/>
          <a:chExt cx="1714499" cy="818029"/>
        </a:xfrm>
      </xdr:grpSpPr>
      <xdr:sp macro="" textlink="">
        <xdr:nvSpPr>
          <xdr:cNvPr id="18" name="Rectangle: Rounded Corners 17">
            <a:extLst>
              <a:ext uri="{FF2B5EF4-FFF2-40B4-BE49-F238E27FC236}">
                <a16:creationId xmlns:a16="http://schemas.microsoft.com/office/drawing/2014/main" id="{94E8FC71-23E9-41F4-BA51-79BFE0C5983A}"/>
              </a:ext>
            </a:extLst>
          </xdr:cNvPr>
          <xdr:cNvSpPr/>
        </xdr:nvSpPr>
        <xdr:spPr>
          <a:xfrm>
            <a:off x="2140324" y="1725706"/>
            <a:ext cx="1714499" cy="818029"/>
          </a:xfrm>
          <a:prstGeom prst="round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EF7C138F-6C88-4224-8937-FC8EF2B8809D}"/>
              </a:ext>
            </a:extLst>
          </xdr:cNvPr>
          <xdr:cNvSpPr txBox="1"/>
        </xdr:nvSpPr>
        <xdr:spPr>
          <a:xfrm>
            <a:off x="2756647" y="1860175"/>
            <a:ext cx="1064559"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Sheet4!A21">
        <xdr:nvSpPr>
          <xdr:cNvPr id="23" name="TextBox 22">
            <a:extLst>
              <a:ext uri="{FF2B5EF4-FFF2-40B4-BE49-F238E27FC236}">
                <a16:creationId xmlns:a16="http://schemas.microsoft.com/office/drawing/2014/main" id="{83254D44-5669-4209-8F7A-BA807B2B37BC}"/>
              </a:ext>
            </a:extLst>
          </xdr:cNvPr>
          <xdr:cNvSpPr txBox="1"/>
        </xdr:nvSpPr>
        <xdr:spPr>
          <a:xfrm>
            <a:off x="2689414" y="2185146"/>
            <a:ext cx="1019733"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7E93E3-567E-4A28-A559-FE7B7C6237E3}" type="TxLink">
              <a:rPr lang="en-US" sz="1600" b="1" i="0" u="none" strike="noStrike">
                <a:solidFill>
                  <a:srgbClr val="000000"/>
                </a:solidFill>
                <a:latin typeface="Calibri"/>
                <a:cs typeface="Calibri"/>
              </a:rPr>
              <a:pPr algn="ctr"/>
              <a:t>401411.92</a:t>
            </a:fld>
            <a:endParaRPr lang="en-IN" sz="1600" b="1"/>
          </a:p>
        </xdr:txBody>
      </xdr:sp>
      <xdr:pic>
        <xdr:nvPicPr>
          <xdr:cNvPr id="25" name="Graphic 24" descr="Money with solid fill">
            <a:extLst>
              <a:ext uri="{FF2B5EF4-FFF2-40B4-BE49-F238E27FC236}">
                <a16:creationId xmlns:a16="http://schemas.microsoft.com/office/drawing/2014/main" id="{6A6732AE-9D17-41ED-81D8-045436EBBC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286000" y="1927412"/>
            <a:ext cx="365311" cy="365311"/>
          </a:xfrm>
          <a:prstGeom prst="rect">
            <a:avLst/>
          </a:prstGeom>
        </xdr:spPr>
      </xdr:pic>
    </xdr:grpSp>
    <xdr:clientData/>
  </xdr:twoCellAnchor>
  <xdr:twoCellAnchor>
    <xdr:from>
      <xdr:col>12</xdr:col>
      <xdr:colOff>387737</xdr:colOff>
      <xdr:row>9</xdr:row>
      <xdr:rowOff>85165</xdr:rowOff>
    </xdr:from>
    <xdr:to>
      <xdr:col>15</xdr:col>
      <xdr:colOff>286883</xdr:colOff>
      <xdr:row>14</xdr:row>
      <xdr:rowOff>6723</xdr:rowOff>
    </xdr:to>
    <xdr:grpSp>
      <xdr:nvGrpSpPr>
        <xdr:cNvPr id="39" name="Group 38">
          <a:extLst>
            <a:ext uri="{FF2B5EF4-FFF2-40B4-BE49-F238E27FC236}">
              <a16:creationId xmlns:a16="http://schemas.microsoft.com/office/drawing/2014/main" id="{F80A0408-6054-499E-BAA0-C06B379066FE}"/>
            </a:ext>
          </a:extLst>
        </xdr:cNvPr>
        <xdr:cNvGrpSpPr/>
      </xdr:nvGrpSpPr>
      <xdr:grpSpPr>
        <a:xfrm>
          <a:off x="7702937" y="1706147"/>
          <a:ext cx="1727946" cy="822103"/>
          <a:chOff x="3906371" y="1721224"/>
          <a:chExt cx="1714499" cy="818029"/>
        </a:xfrm>
      </xdr:grpSpPr>
      <xdr:sp macro="" textlink="">
        <xdr:nvSpPr>
          <xdr:cNvPr id="21" name="Rectangle: Rounded Corners 20">
            <a:extLst>
              <a:ext uri="{FF2B5EF4-FFF2-40B4-BE49-F238E27FC236}">
                <a16:creationId xmlns:a16="http://schemas.microsoft.com/office/drawing/2014/main" id="{CD0CC31E-DB4C-44A4-B5F9-23DC03F035C3}"/>
              </a:ext>
            </a:extLst>
          </xdr:cNvPr>
          <xdr:cNvSpPr/>
        </xdr:nvSpPr>
        <xdr:spPr>
          <a:xfrm>
            <a:off x="3906371" y="1721224"/>
            <a:ext cx="1714499" cy="818029"/>
          </a:xfrm>
          <a:prstGeom prst="round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CF58B468-200D-48FA-BFC4-5F88768EDC3D}"/>
              </a:ext>
            </a:extLst>
          </xdr:cNvPr>
          <xdr:cNvSpPr txBox="1"/>
        </xdr:nvSpPr>
        <xdr:spPr>
          <a:xfrm>
            <a:off x="4522694" y="1855693"/>
            <a:ext cx="1064559"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Qty</a:t>
            </a:r>
          </a:p>
        </xdr:txBody>
      </xdr:sp>
      <xdr:sp macro="" textlink="Sheet4!A26">
        <xdr:nvSpPr>
          <xdr:cNvPr id="24" name="TextBox 23">
            <a:extLst>
              <a:ext uri="{FF2B5EF4-FFF2-40B4-BE49-F238E27FC236}">
                <a16:creationId xmlns:a16="http://schemas.microsoft.com/office/drawing/2014/main" id="{3AC7868A-2729-4EB2-A74A-D8B3A62691AB}"/>
              </a:ext>
            </a:extLst>
          </xdr:cNvPr>
          <xdr:cNvSpPr txBox="1"/>
        </xdr:nvSpPr>
        <xdr:spPr>
          <a:xfrm>
            <a:off x="4455461" y="2180664"/>
            <a:ext cx="1019733"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E2286F-3515-4A36-B953-E1056260D478}" type="TxLink">
              <a:rPr lang="en-US" sz="1600" b="1" i="0" u="none" strike="noStrike">
                <a:solidFill>
                  <a:srgbClr val="000000"/>
                </a:solidFill>
                <a:latin typeface="Calibri"/>
                <a:cs typeface="Calibri"/>
              </a:rPr>
              <a:pPr algn="ctr"/>
              <a:t>4280</a:t>
            </a:fld>
            <a:endParaRPr lang="en-IN" sz="1600" b="1"/>
          </a:p>
        </xdr:txBody>
      </xdr:sp>
      <xdr:pic>
        <xdr:nvPicPr>
          <xdr:cNvPr id="8" name="Picture 7">
            <a:extLst>
              <a:ext uri="{FF2B5EF4-FFF2-40B4-BE49-F238E27FC236}">
                <a16:creationId xmlns:a16="http://schemas.microsoft.com/office/drawing/2014/main" id="{97DE287B-EC71-4F10-B76A-2898C74832F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992094" y="1860177"/>
            <a:ext cx="638735" cy="638735"/>
          </a:xfrm>
          <a:prstGeom prst="rect">
            <a:avLst/>
          </a:prstGeom>
        </xdr:spPr>
      </xdr:pic>
    </xdr:grpSp>
    <xdr:clientData/>
  </xdr:twoCellAnchor>
  <xdr:twoCellAnchor>
    <xdr:from>
      <xdr:col>15</xdr:col>
      <xdr:colOff>428079</xdr:colOff>
      <xdr:row>9</xdr:row>
      <xdr:rowOff>80683</xdr:rowOff>
    </xdr:from>
    <xdr:to>
      <xdr:col>18</xdr:col>
      <xdr:colOff>327225</xdr:colOff>
      <xdr:row>14</xdr:row>
      <xdr:rowOff>2241</xdr:rowOff>
    </xdr:to>
    <xdr:grpSp>
      <xdr:nvGrpSpPr>
        <xdr:cNvPr id="38" name="Group 37">
          <a:extLst>
            <a:ext uri="{FF2B5EF4-FFF2-40B4-BE49-F238E27FC236}">
              <a16:creationId xmlns:a16="http://schemas.microsoft.com/office/drawing/2014/main" id="{90ED0616-F1C7-43B7-9EEF-C1C74865F451}"/>
            </a:ext>
          </a:extLst>
        </xdr:cNvPr>
        <xdr:cNvGrpSpPr/>
      </xdr:nvGrpSpPr>
      <xdr:grpSpPr>
        <a:xfrm>
          <a:off x="9572079" y="1701665"/>
          <a:ext cx="1727946" cy="822103"/>
          <a:chOff x="5706036" y="1727948"/>
          <a:chExt cx="1714499" cy="818029"/>
        </a:xfrm>
      </xdr:grpSpPr>
      <xdr:sp macro="" textlink="">
        <xdr:nvSpPr>
          <xdr:cNvPr id="28" name="Rectangle: Rounded Corners 27">
            <a:extLst>
              <a:ext uri="{FF2B5EF4-FFF2-40B4-BE49-F238E27FC236}">
                <a16:creationId xmlns:a16="http://schemas.microsoft.com/office/drawing/2014/main" id="{0B77CD99-DF98-4DF6-BC67-7EC4441C8963}"/>
              </a:ext>
            </a:extLst>
          </xdr:cNvPr>
          <xdr:cNvSpPr/>
        </xdr:nvSpPr>
        <xdr:spPr>
          <a:xfrm>
            <a:off x="5706036" y="1727948"/>
            <a:ext cx="1714499" cy="818029"/>
          </a:xfrm>
          <a:prstGeom prst="round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A7C67030-40BA-44E2-8C51-7ED40C65D567}"/>
              </a:ext>
            </a:extLst>
          </xdr:cNvPr>
          <xdr:cNvSpPr txBox="1"/>
        </xdr:nvSpPr>
        <xdr:spPr>
          <a:xfrm>
            <a:off x="6322359" y="1862417"/>
            <a:ext cx="1064559"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a:t>
            </a:r>
          </a:p>
        </xdr:txBody>
      </xdr:sp>
      <xdr:sp macro="" textlink="Sheet4!A23">
        <xdr:nvSpPr>
          <xdr:cNvPr id="30" name="TextBox 29">
            <a:extLst>
              <a:ext uri="{FF2B5EF4-FFF2-40B4-BE49-F238E27FC236}">
                <a16:creationId xmlns:a16="http://schemas.microsoft.com/office/drawing/2014/main" id="{04843687-1540-44E7-BF2C-9DAC93ECF48C}"/>
              </a:ext>
            </a:extLst>
          </xdr:cNvPr>
          <xdr:cNvSpPr txBox="1"/>
        </xdr:nvSpPr>
        <xdr:spPr>
          <a:xfrm>
            <a:off x="6255126" y="2187388"/>
            <a:ext cx="1019733"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B3CF7D-3445-46EC-8B1E-A305D87C0FDB}" type="TxLink">
              <a:rPr lang="en-US" sz="1800" b="1" i="0" u="none" strike="noStrike">
                <a:solidFill>
                  <a:srgbClr val="000000"/>
                </a:solidFill>
                <a:latin typeface="Calibri"/>
                <a:cs typeface="Calibri"/>
              </a:rPr>
              <a:pPr algn="ctr"/>
              <a:t>21%</a:t>
            </a:fld>
            <a:endParaRPr lang="en-IN" sz="1800" b="1"/>
          </a:p>
        </xdr:txBody>
      </xdr:sp>
      <xdr:pic>
        <xdr:nvPicPr>
          <xdr:cNvPr id="15" name="Graphic 14" descr="Upward trend with solid fill">
            <a:extLst>
              <a:ext uri="{FF2B5EF4-FFF2-40B4-BE49-F238E27FC236}">
                <a16:creationId xmlns:a16="http://schemas.microsoft.com/office/drawing/2014/main" id="{519D3350-6E0E-4552-B276-26AE1A891FE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827060" y="1916206"/>
            <a:ext cx="477369" cy="477369"/>
          </a:xfrm>
          <a:prstGeom prst="rect">
            <a:avLst/>
          </a:prstGeom>
        </xdr:spPr>
      </xdr:pic>
    </xdr:grpSp>
    <xdr:clientData/>
  </xdr:twoCellAnchor>
  <xdr:twoCellAnchor>
    <xdr:from>
      <xdr:col>18</xdr:col>
      <xdr:colOff>468421</xdr:colOff>
      <xdr:row>9</xdr:row>
      <xdr:rowOff>76200</xdr:rowOff>
    </xdr:from>
    <xdr:to>
      <xdr:col>21</xdr:col>
      <xdr:colOff>392218</xdr:colOff>
      <xdr:row>13</xdr:row>
      <xdr:rowOff>177052</xdr:rowOff>
    </xdr:to>
    <xdr:grpSp>
      <xdr:nvGrpSpPr>
        <xdr:cNvPr id="37" name="Group 36">
          <a:extLst>
            <a:ext uri="{FF2B5EF4-FFF2-40B4-BE49-F238E27FC236}">
              <a16:creationId xmlns:a16="http://schemas.microsoft.com/office/drawing/2014/main" id="{DDDB9C91-FC3C-40DA-B399-77ABDD212C66}"/>
            </a:ext>
          </a:extLst>
        </xdr:cNvPr>
        <xdr:cNvGrpSpPr/>
      </xdr:nvGrpSpPr>
      <xdr:grpSpPr>
        <a:xfrm>
          <a:off x="11441221" y="1697182"/>
          <a:ext cx="1752597" cy="821288"/>
          <a:chOff x="7528113" y="1723465"/>
          <a:chExt cx="1739150" cy="818029"/>
        </a:xfrm>
      </xdr:grpSpPr>
      <xdr:sp macro="" textlink="">
        <xdr:nvSpPr>
          <xdr:cNvPr id="31" name="Rectangle: Rounded Corners 30">
            <a:extLst>
              <a:ext uri="{FF2B5EF4-FFF2-40B4-BE49-F238E27FC236}">
                <a16:creationId xmlns:a16="http://schemas.microsoft.com/office/drawing/2014/main" id="{744E14D6-5130-4C2F-B5E1-7D425241EAD6}"/>
              </a:ext>
            </a:extLst>
          </xdr:cNvPr>
          <xdr:cNvSpPr/>
        </xdr:nvSpPr>
        <xdr:spPr>
          <a:xfrm>
            <a:off x="7528113" y="1723465"/>
            <a:ext cx="1714499" cy="818029"/>
          </a:xfrm>
          <a:prstGeom prst="round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AC18AEA9-3915-4424-9E99-7F897E2AEC25}"/>
              </a:ext>
            </a:extLst>
          </xdr:cNvPr>
          <xdr:cNvSpPr txBox="1"/>
        </xdr:nvSpPr>
        <xdr:spPr>
          <a:xfrm>
            <a:off x="8032376" y="1804148"/>
            <a:ext cx="1234887" cy="37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Top</a:t>
            </a:r>
            <a:r>
              <a:rPr lang="en-IN" sz="1400" b="1" baseline="0"/>
              <a:t> Product</a:t>
            </a:r>
            <a:endParaRPr lang="en-IN" sz="1400" b="1"/>
          </a:p>
        </xdr:txBody>
      </xdr:sp>
      <xdr:sp macro="" textlink="Sheet4!J4">
        <xdr:nvSpPr>
          <xdr:cNvPr id="33" name="TextBox 32">
            <a:extLst>
              <a:ext uri="{FF2B5EF4-FFF2-40B4-BE49-F238E27FC236}">
                <a16:creationId xmlns:a16="http://schemas.microsoft.com/office/drawing/2014/main" id="{7118819C-95C4-4B9B-8C0B-3F89E724FD4C}"/>
              </a:ext>
            </a:extLst>
          </xdr:cNvPr>
          <xdr:cNvSpPr txBox="1"/>
        </xdr:nvSpPr>
        <xdr:spPr>
          <a:xfrm>
            <a:off x="8077203" y="2182905"/>
            <a:ext cx="1019733"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ABEFFF-0EC7-4733-884D-1DD0F777F8C5}" type="TxLink">
              <a:rPr lang="en-US" sz="1800" b="1" i="0" u="none" strike="noStrike">
                <a:solidFill>
                  <a:srgbClr val="000000"/>
                </a:solidFill>
                <a:latin typeface="Calibri"/>
                <a:cs typeface="Calibri"/>
              </a:rPr>
              <a:pPr algn="ctr"/>
              <a:t>P0041</a:t>
            </a:fld>
            <a:endParaRPr lang="en-IN" sz="1800" b="1"/>
          </a:p>
        </xdr:txBody>
      </xdr:sp>
      <xdr:pic>
        <xdr:nvPicPr>
          <xdr:cNvPr id="36" name="Picture 35">
            <a:extLst>
              <a:ext uri="{FF2B5EF4-FFF2-40B4-BE49-F238E27FC236}">
                <a16:creationId xmlns:a16="http://schemas.microsoft.com/office/drawing/2014/main" id="{28C1FC79-3B34-4F06-9154-090852D3A1B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642411" y="1882588"/>
            <a:ext cx="462364" cy="462364"/>
          </a:xfrm>
          <a:prstGeom prst="rect">
            <a:avLst/>
          </a:prstGeom>
        </xdr:spPr>
      </xdr:pic>
    </xdr:grpSp>
    <xdr:clientData/>
  </xdr:twoCellAnchor>
  <xdr:twoCellAnchor>
    <xdr:from>
      <xdr:col>3</xdr:col>
      <xdr:colOff>302559</xdr:colOff>
      <xdr:row>9</xdr:row>
      <xdr:rowOff>89647</xdr:rowOff>
    </xdr:from>
    <xdr:to>
      <xdr:col>7</xdr:col>
      <xdr:colOff>560294</xdr:colOff>
      <xdr:row>13</xdr:row>
      <xdr:rowOff>156882</xdr:rowOff>
    </xdr:to>
    <xdr:sp macro="" textlink="">
      <xdr:nvSpPr>
        <xdr:cNvPr id="41" name="Rectangle: Rounded Corners 40">
          <a:extLst>
            <a:ext uri="{FF2B5EF4-FFF2-40B4-BE49-F238E27FC236}">
              <a16:creationId xmlns:a16="http://schemas.microsoft.com/office/drawing/2014/main" id="{35DF38D0-584B-4AB7-BE9F-617FB097FB6B}"/>
            </a:ext>
          </a:extLst>
        </xdr:cNvPr>
        <xdr:cNvSpPr/>
      </xdr:nvSpPr>
      <xdr:spPr>
        <a:xfrm>
          <a:off x="2117912" y="1703294"/>
          <a:ext cx="2678206" cy="784412"/>
        </a:xfrm>
        <a:prstGeom prst="round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268941</xdr:colOff>
      <xdr:row>9</xdr:row>
      <xdr:rowOff>123266</xdr:rowOff>
    </xdr:from>
    <xdr:to>
      <xdr:col>7</xdr:col>
      <xdr:colOff>392206</xdr:colOff>
      <xdr:row>13</xdr:row>
      <xdr:rowOff>78441</xdr:rowOff>
    </xdr:to>
    <xdr:sp macro="" textlink="">
      <xdr:nvSpPr>
        <xdr:cNvPr id="42" name="TextBox 41">
          <a:extLst>
            <a:ext uri="{FF2B5EF4-FFF2-40B4-BE49-F238E27FC236}">
              <a16:creationId xmlns:a16="http://schemas.microsoft.com/office/drawing/2014/main" id="{9E597766-00ED-4491-AF76-EDFB38B3EBAC}"/>
            </a:ext>
          </a:extLst>
        </xdr:cNvPr>
        <xdr:cNvSpPr txBox="1"/>
      </xdr:nvSpPr>
      <xdr:spPr>
        <a:xfrm>
          <a:off x="2689412" y="1736913"/>
          <a:ext cx="1938618" cy="672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SALES </a:t>
          </a:r>
        </a:p>
        <a:p>
          <a:pPr algn="ctr"/>
          <a:r>
            <a:rPr lang="en-IN" sz="1600" b="1"/>
            <a:t>DASHBOARD</a:t>
          </a:r>
        </a:p>
      </xdr:txBody>
    </xdr:sp>
    <xdr:clientData/>
  </xdr:twoCellAnchor>
  <xdr:twoCellAnchor editAs="oneCell">
    <xdr:from>
      <xdr:col>3</xdr:col>
      <xdr:colOff>459440</xdr:colOff>
      <xdr:row>10</xdr:row>
      <xdr:rowOff>0</xdr:rowOff>
    </xdr:from>
    <xdr:to>
      <xdr:col>4</xdr:col>
      <xdr:colOff>425822</xdr:colOff>
      <xdr:row>13</xdr:row>
      <xdr:rowOff>33617</xdr:rowOff>
    </xdr:to>
    <xdr:pic>
      <xdr:nvPicPr>
        <xdr:cNvPr id="44" name="Picture 43">
          <a:extLst>
            <a:ext uri="{FF2B5EF4-FFF2-40B4-BE49-F238E27FC236}">
              <a16:creationId xmlns:a16="http://schemas.microsoft.com/office/drawing/2014/main" id="{85FEC92F-4388-45DD-8506-8E4CF4EB4AC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274793" y="1792941"/>
          <a:ext cx="571500" cy="571500"/>
        </a:xfrm>
        <a:prstGeom prst="rect">
          <a:avLst/>
        </a:prstGeom>
      </xdr:spPr>
    </xdr:pic>
    <xdr:clientData/>
  </xdr:twoCellAnchor>
  <xdr:twoCellAnchor>
    <xdr:from>
      <xdr:col>3</xdr:col>
      <xdr:colOff>134468</xdr:colOff>
      <xdr:row>30</xdr:row>
      <xdr:rowOff>100852</xdr:rowOff>
    </xdr:from>
    <xdr:to>
      <xdr:col>15</xdr:col>
      <xdr:colOff>145676</xdr:colOff>
      <xdr:row>47</xdr:row>
      <xdr:rowOff>56029</xdr:rowOff>
    </xdr:to>
    <xdr:grpSp>
      <xdr:nvGrpSpPr>
        <xdr:cNvPr id="68" name="Group 67">
          <a:extLst>
            <a:ext uri="{FF2B5EF4-FFF2-40B4-BE49-F238E27FC236}">
              <a16:creationId xmlns:a16="http://schemas.microsoft.com/office/drawing/2014/main" id="{44A840A8-8984-4BA3-8F41-5178A1775781}"/>
            </a:ext>
          </a:extLst>
        </xdr:cNvPr>
        <xdr:cNvGrpSpPr/>
      </xdr:nvGrpSpPr>
      <xdr:grpSpPr>
        <a:xfrm>
          <a:off x="1963268" y="5504125"/>
          <a:ext cx="7326408" cy="3017031"/>
          <a:chOff x="1949821" y="5479676"/>
          <a:chExt cx="7272620" cy="3003177"/>
        </a:xfrm>
      </xdr:grpSpPr>
      <xdr:sp macro="" textlink="">
        <xdr:nvSpPr>
          <xdr:cNvPr id="46" name="Rectangle 45">
            <a:extLst>
              <a:ext uri="{FF2B5EF4-FFF2-40B4-BE49-F238E27FC236}">
                <a16:creationId xmlns:a16="http://schemas.microsoft.com/office/drawing/2014/main" id="{177A23FC-7AA0-4F91-BC48-29F6E050FD0C}"/>
              </a:ext>
            </a:extLst>
          </xdr:cNvPr>
          <xdr:cNvSpPr/>
        </xdr:nvSpPr>
        <xdr:spPr>
          <a:xfrm>
            <a:off x="1949821" y="5490883"/>
            <a:ext cx="7272620" cy="2991970"/>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758B1AC4-28DC-46DB-81B6-90F345B33531}"/>
              </a:ext>
            </a:extLst>
          </xdr:cNvPr>
          <xdr:cNvGraphicFramePr>
            <a:graphicFrameLocks/>
          </xdr:cNvGraphicFramePr>
        </xdr:nvGraphicFramePr>
        <xdr:xfrm>
          <a:off x="1972232" y="5883088"/>
          <a:ext cx="7227797" cy="2566147"/>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7" name="TextBox 46">
            <a:extLst>
              <a:ext uri="{FF2B5EF4-FFF2-40B4-BE49-F238E27FC236}">
                <a16:creationId xmlns:a16="http://schemas.microsoft.com/office/drawing/2014/main" id="{9F365BBC-F77A-423E-A7B5-5AC5DEE18F69}"/>
              </a:ext>
            </a:extLst>
          </xdr:cNvPr>
          <xdr:cNvSpPr txBox="1"/>
        </xdr:nvSpPr>
        <xdr:spPr>
          <a:xfrm>
            <a:off x="3699845" y="5524500"/>
            <a:ext cx="3427097" cy="336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Day</a:t>
            </a:r>
            <a:r>
              <a:rPr lang="en-IN" sz="1400" b="1" baseline="0"/>
              <a:t> wise Sales</a:t>
            </a:r>
            <a:endParaRPr lang="en-IN" sz="1400" b="1"/>
          </a:p>
        </xdr:txBody>
      </xdr:sp>
      <xdr:pic>
        <xdr:nvPicPr>
          <xdr:cNvPr id="49" name="Picture 48">
            <a:extLst>
              <a:ext uri="{FF2B5EF4-FFF2-40B4-BE49-F238E27FC236}">
                <a16:creationId xmlns:a16="http://schemas.microsoft.com/office/drawing/2014/main" id="{CEA7F59C-7156-4978-B5B2-0EA03A3A9F9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99687" y="5479676"/>
            <a:ext cx="477666" cy="402980"/>
          </a:xfrm>
          <a:prstGeom prst="rect">
            <a:avLst/>
          </a:prstGeom>
        </xdr:spPr>
      </xdr:pic>
    </xdr:grpSp>
    <xdr:clientData/>
  </xdr:twoCellAnchor>
  <xdr:twoCellAnchor>
    <xdr:from>
      <xdr:col>3</xdr:col>
      <xdr:colOff>179294</xdr:colOff>
      <xdr:row>15</xdr:row>
      <xdr:rowOff>44825</xdr:rowOff>
    </xdr:from>
    <xdr:to>
      <xdr:col>9</xdr:col>
      <xdr:colOff>44823</xdr:colOff>
      <xdr:row>30</xdr:row>
      <xdr:rowOff>33619</xdr:rowOff>
    </xdr:to>
    <xdr:sp macro="" textlink="">
      <xdr:nvSpPr>
        <xdr:cNvPr id="56" name="Rectangle 55">
          <a:extLst>
            <a:ext uri="{FF2B5EF4-FFF2-40B4-BE49-F238E27FC236}">
              <a16:creationId xmlns:a16="http://schemas.microsoft.com/office/drawing/2014/main" id="{B59A8329-458D-44BF-84A6-7D2393961D78}"/>
            </a:ext>
          </a:extLst>
        </xdr:cNvPr>
        <xdr:cNvSpPr/>
      </xdr:nvSpPr>
      <xdr:spPr>
        <a:xfrm>
          <a:off x="1994647" y="2734237"/>
          <a:ext cx="3496235" cy="2678206"/>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224118</xdr:colOff>
      <xdr:row>15</xdr:row>
      <xdr:rowOff>44823</xdr:rowOff>
    </xdr:from>
    <xdr:to>
      <xdr:col>9</xdr:col>
      <xdr:colOff>33617</xdr:colOff>
      <xdr:row>30</xdr:row>
      <xdr:rowOff>67234</xdr:rowOff>
    </xdr:to>
    <xdr:grpSp>
      <xdr:nvGrpSpPr>
        <xdr:cNvPr id="63" name="Group 62">
          <a:extLst>
            <a:ext uri="{FF2B5EF4-FFF2-40B4-BE49-F238E27FC236}">
              <a16:creationId xmlns:a16="http://schemas.microsoft.com/office/drawing/2014/main" id="{B817073E-6862-47FA-BD21-D180EB5F9E2F}"/>
            </a:ext>
          </a:extLst>
        </xdr:cNvPr>
        <xdr:cNvGrpSpPr/>
      </xdr:nvGrpSpPr>
      <xdr:grpSpPr>
        <a:xfrm>
          <a:off x="2052918" y="2746459"/>
          <a:ext cx="3467099" cy="2724048"/>
          <a:chOff x="2039471" y="2734235"/>
          <a:chExt cx="3440205" cy="2711823"/>
        </a:xfrm>
      </xdr:grpSpPr>
      <xdr:graphicFrame macro="">
        <xdr:nvGraphicFramePr>
          <xdr:cNvPr id="53" name="Chart 52">
            <a:extLst>
              <a:ext uri="{FF2B5EF4-FFF2-40B4-BE49-F238E27FC236}">
                <a16:creationId xmlns:a16="http://schemas.microsoft.com/office/drawing/2014/main" id="{19657769-F03A-40B6-84B7-BB4241F00C36}"/>
              </a:ext>
            </a:extLst>
          </xdr:cNvPr>
          <xdr:cNvGraphicFramePr>
            <a:graphicFrameLocks/>
          </xdr:cNvGraphicFramePr>
        </xdr:nvGraphicFramePr>
        <xdr:xfrm>
          <a:off x="2039471" y="3028016"/>
          <a:ext cx="3440205" cy="2418042"/>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55" name="TextBox 54">
            <a:extLst>
              <a:ext uri="{FF2B5EF4-FFF2-40B4-BE49-F238E27FC236}">
                <a16:creationId xmlns:a16="http://schemas.microsoft.com/office/drawing/2014/main" id="{87C7FAB1-EFB2-4A9F-AE30-093DD03688F7}"/>
              </a:ext>
            </a:extLst>
          </xdr:cNvPr>
          <xdr:cNvSpPr txBox="1"/>
        </xdr:nvSpPr>
        <xdr:spPr>
          <a:xfrm>
            <a:off x="2061382" y="2734235"/>
            <a:ext cx="3396382" cy="237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Payment Mode Sales %</a:t>
            </a:r>
          </a:p>
        </xdr:txBody>
      </xdr:sp>
    </xdr:grpSp>
    <xdr:clientData/>
  </xdr:twoCellAnchor>
  <xdr:twoCellAnchor>
    <xdr:from>
      <xdr:col>9</xdr:col>
      <xdr:colOff>242047</xdr:colOff>
      <xdr:row>15</xdr:row>
      <xdr:rowOff>40343</xdr:rowOff>
    </xdr:from>
    <xdr:to>
      <xdr:col>15</xdr:col>
      <xdr:colOff>107576</xdr:colOff>
      <xdr:row>30</xdr:row>
      <xdr:rowOff>29137</xdr:rowOff>
    </xdr:to>
    <xdr:grpSp>
      <xdr:nvGrpSpPr>
        <xdr:cNvPr id="62" name="Group 61">
          <a:extLst>
            <a:ext uri="{FF2B5EF4-FFF2-40B4-BE49-F238E27FC236}">
              <a16:creationId xmlns:a16="http://schemas.microsoft.com/office/drawing/2014/main" id="{F51FB12C-B105-420B-8DDD-10E95D51A934}"/>
            </a:ext>
          </a:extLst>
        </xdr:cNvPr>
        <xdr:cNvGrpSpPr/>
      </xdr:nvGrpSpPr>
      <xdr:grpSpPr>
        <a:xfrm>
          <a:off x="5728447" y="2741979"/>
          <a:ext cx="3523129" cy="2690431"/>
          <a:chOff x="5688106" y="2729755"/>
          <a:chExt cx="3496235" cy="2678206"/>
        </a:xfrm>
      </xdr:grpSpPr>
      <xdr:sp macro="" textlink="">
        <xdr:nvSpPr>
          <xdr:cNvPr id="57" name="Rectangle 56">
            <a:extLst>
              <a:ext uri="{FF2B5EF4-FFF2-40B4-BE49-F238E27FC236}">
                <a16:creationId xmlns:a16="http://schemas.microsoft.com/office/drawing/2014/main" id="{628BC38C-7312-4F9D-B68E-7F3E1FABFCFD}"/>
              </a:ext>
            </a:extLst>
          </xdr:cNvPr>
          <xdr:cNvSpPr/>
        </xdr:nvSpPr>
        <xdr:spPr>
          <a:xfrm>
            <a:off x="5688106" y="2729755"/>
            <a:ext cx="3496235" cy="2678206"/>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0" name="Chart 59">
            <a:extLst>
              <a:ext uri="{FF2B5EF4-FFF2-40B4-BE49-F238E27FC236}">
                <a16:creationId xmlns:a16="http://schemas.microsoft.com/office/drawing/2014/main" id="{6A7DBD46-2238-490C-A5C8-EF1CC83AF487}"/>
              </a:ext>
            </a:extLst>
          </xdr:cNvPr>
          <xdr:cNvGraphicFramePr>
            <a:graphicFrameLocks/>
          </xdr:cNvGraphicFramePr>
        </xdr:nvGraphicFramePr>
        <xdr:xfrm>
          <a:off x="5782236" y="3070412"/>
          <a:ext cx="3283324" cy="2319617"/>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61" name="TextBox 60">
            <a:extLst>
              <a:ext uri="{FF2B5EF4-FFF2-40B4-BE49-F238E27FC236}">
                <a16:creationId xmlns:a16="http://schemas.microsoft.com/office/drawing/2014/main" id="{8E1CA9FF-82EF-444B-8F8E-D5B2AD6A7287}"/>
              </a:ext>
            </a:extLst>
          </xdr:cNvPr>
          <xdr:cNvSpPr txBox="1"/>
        </xdr:nvSpPr>
        <xdr:spPr>
          <a:xfrm>
            <a:off x="5838265" y="2767853"/>
            <a:ext cx="3092823"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Year Wise Sales %</a:t>
            </a:r>
          </a:p>
        </xdr:txBody>
      </xdr:sp>
    </xdr:grpSp>
    <xdr:clientData/>
  </xdr:twoCellAnchor>
  <xdr:twoCellAnchor>
    <xdr:from>
      <xdr:col>15</xdr:col>
      <xdr:colOff>291351</xdr:colOff>
      <xdr:row>15</xdr:row>
      <xdr:rowOff>78441</xdr:rowOff>
    </xdr:from>
    <xdr:to>
      <xdr:col>22</xdr:col>
      <xdr:colOff>358587</xdr:colOff>
      <xdr:row>30</xdr:row>
      <xdr:rowOff>33617</xdr:rowOff>
    </xdr:to>
    <xdr:grpSp>
      <xdr:nvGrpSpPr>
        <xdr:cNvPr id="74" name="Group 73">
          <a:extLst>
            <a:ext uri="{FF2B5EF4-FFF2-40B4-BE49-F238E27FC236}">
              <a16:creationId xmlns:a16="http://schemas.microsoft.com/office/drawing/2014/main" id="{15FE6B92-AB4A-4A69-9A08-301EC4605C71}"/>
            </a:ext>
          </a:extLst>
        </xdr:cNvPr>
        <xdr:cNvGrpSpPr/>
      </xdr:nvGrpSpPr>
      <xdr:grpSpPr>
        <a:xfrm>
          <a:off x="9435351" y="2780077"/>
          <a:ext cx="4334436" cy="2656813"/>
          <a:chOff x="9368116" y="2767853"/>
          <a:chExt cx="4303059" cy="2644588"/>
        </a:xfrm>
      </xdr:grpSpPr>
      <xdr:sp macro="" textlink="">
        <xdr:nvSpPr>
          <xdr:cNvPr id="65" name="Rectangle 64">
            <a:extLst>
              <a:ext uri="{FF2B5EF4-FFF2-40B4-BE49-F238E27FC236}">
                <a16:creationId xmlns:a16="http://schemas.microsoft.com/office/drawing/2014/main" id="{CE420358-61A2-4A1D-A2ED-08995A8C8192}"/>
              </a:ext>
            </a:extLst>
          </xdr:cNvPr>
          <xdr:cNvSpPr/>
        </xdr:nvSpPr>
        <xdr:spPr>
          <a:xfrm>
            <a:off x="9368116" y="2767853"/>
            <a:ext cx="4303059" cy="2633382"/>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6D78F0AF-A01F-4F11-9DDC-531B80A2EA07}"/>
                  </a:ext>
                </a:extLst>
              </xdr:cNvPr>
              <xdr:cNvGraphicFramePr/>
            </xdr:nvGraphicFramePr>
            <xdr:xfrm>
              <a:off x="9379324" y="3104029"/>
              <a:ext cx="4269441" cy="230841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379324" y="3104029"/>
                <a:ext cx="4269441" cy="23084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73" name="TextBox 72">
            <a:extLst>
              <a:ext uri="{FF2B5EF4-FFF2-40B4-BE49-F238E27FC236}">
                <a16:creationId xmlns:a16="http://schemas.microsoft.com/office/drawing/2014/main" id="{C52D6FB8-818C-4EA5-93A9-BB2CE489559D}"/>
              </a:ext>
            </a:extLst>
          </xdr:cNvPr>
          <xdr:cNvSpPr txBox="1"/>
        </xdr:nvSpPr>
        <xdr:spPr>
          <a:xfrm>
            <a:off x="9861177" y="2790264"/>
            <a:ext cx="3048000"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Top 5 Sales by Category</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Excel%20Assigements/DASHBOARD/Lesson%208%20Practice%20File%20(Par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File"/>
      <sheetName val="Sheet3"/>
      <sheetName val="Raw Data"/>
      <sheetName val="Dashboard"/>
    </sheetNames>
    <sheetDataSet>
      <sheetData sheetId="0">
        <row r="1">
          <cell r="A1" t="str">
            <v>PRODUCT ID</v>
          </cell>
          <cell r="B1" t="str">
            <v>PRODUCT</v>
          </cell>
          <cell r="C1" t="str">
            <v>CATEGORY</v>
          </cell>
          <cell r="D1" t="str">
            <v>UOM</v>
          </cell>
          <cell r="E1" t="str">
            <v>BUYING PRIZE</v>
          </cell>
          <cell r="F1" t="str">
            <v>SELLING PRICE</v>
          </cell>
        </row>
        <row r="2">
          <cell r="A2" t="str">
            <v>P0001</v>
          </cell>
          <cell r="B2" t="str">
            <v>Product01</v>
          </cell>
          <cell r="C2" t="str">
            <v>Category01</v>
          </cell>
          <cell r="D2" t="str">
            <v>Kg</v>
          </cell>
          <cell r="E2">
            <v>98</v>
          </cell>
          <cell r="F2">
            <v>103.88</v>
          </cell>
        </row>
        <row r="3">
          <cell r="A3" t="str">
            <v>P0002</v>
          </cell>
          <cell r="B3" t="str">
            <v>Product02</v>
          </cell>
          <cell r="C3" t="str">
            <v>Category01</v>
          </cell>
          <cell r="D3" t="str">
            <v>Kg</v>
          </cell>
          <cell r="E3">
            <v>105</v>
          </cell>
          <cell r="F3">
            <v>142.80000000000001</v>
          </cell>
        </row>
        <row r="4">
          <cell r="A4" t="str">
            <v>P0003</v>
          </cell>
          <cell r="B4" t="str">
            <v>Product03</v>
          </cell>
          <cell r="C4" t="str">
            <v>Category01</v>
          </cell>
          <cell r="D4" t="str">
            <v>Kg</v>
          </cell>
          <cell r="E4">
            <v>71</v>
          </cell>
          <cell r="F4">
            <v>80.94</v>
          </cell>
        </row>
        <row r="5">
          <cell r="A5" t="str">
            <v>P0004</v>
          </cell>
          <cell r="B5" t="str">
            <v>Product04</v>
          </cell>
          <cell r="C5" t="str">
            <v>Category01</v>
          </cell>
          <cell r="D5" t="str">
            <v>Lt</v>
          </cell>
          <cell r="E5">
            <v>44</v>
          </cell>
          <cell r="F5">
            <v>48.84</v>
          </cell>
        </row>
        <row r="6">
          <cell r="A6" t="str">
            <v>P0005</v>
          </cell>
          <cell r="B6" t="str">
            <v>Product05</v>
          </cell>
          <cell r="C6" t="str">
            <v>Category01</v>
          </cell>
          <cell r="D6" t="str">
            <v>Ft</v>
          </cell>
          <cell r="E6">
            <v>133</v>
          </cell>
          <cell r="F6">
            <v>155.61000000000001</v>
          </cell>
        </row>
        <row r="7">
          <cell r="A7" t="str">
            <v>P0006</v>
          </cell>
          <cell r="B7" t="str">
            <v>Product06</v>
          </cell>
          <cell r="C7" t="str">
            <v>Category01</v>
          </cell>
          <cell r="D7" t="str">
            <v>Kg</v>
          </cell>
          <cell r="E7">
            <v>75</v>
          </cell>
          <cell r="F7">
            <v>85.5</v>
          </cell>
        </row>
        <row r="8">
          <cell r="A8" t="str">
            <v>P0007</v>
          </cell>
          <cell r="B8" t="str">
            <v>Product07</v>
          </cell>
          <cell r="C8" t="str">
            <v>Category01</v>
          </cell>
          <cell r="D8" t="str">
            <v>Lt</v>
          </cell>
          <cell r="E8">
            <v>43</v>
          </cell>
          <cell r="F8">
            <v>47.730000000000004</v>
          </cell>
        </row>
        <row r="9">
          <cell r="A9" t="str">
            <v>P0008</v>
          </cell>
          <cell r="B9" t="str">
            <v>Product08</v>
          </cell>
          <cell r="C9" t="str">
            <v>Category01</v>
          </cell>
          <cell r="D9" t="str">
            <v>Kg</v>
          </cell>
          <cell r="E9">
            <v>83</v>
          </cell>
          <cell r="F9">
            <v>94.62</v>
          </cell>
        </row>
        <row r="10">
          <cell r="A10" t="str">
            <v>P0009</v>
          </cell>
          <cell r="B10" t="str">
            <v>Product09</v>
          </cell>
          <cell r="C10" t="str">
            <v>Category01</v>
          </cell>
          <cell r="D10" t="str">
            <v>No.</v>
          </cell>
          <cell r="E10">
            <v>6</v>
          </cell>
          <cell r="F10">
            <v>7.8599999999999994</v>
          </cell>
        </row>
        <row r="11">
          <cell r="A11" t="str">
            <v>P0010</v>
          </cell>
          <cell r="B11" t="str">
            <v>Product10</v>
          </cell>
          <cell r="C11" t="str">
            <v>Category02</v>
          </cell>
          <cell r="D11" t="str">
            <v>Ft</v>
          </cell>
          <cell r="E11">
            <v>148</v>
          </cell>
          <cell r="F11">
            <v>164.28</v>
          </cell>
        </row>
        <row r="12">
          <cell r="A12" t="str">
            <v>P0011</v>
          </cell>
          <cell r="B12" t="str">
            <v>Product11</v>
          </cell>
          <cell r="C12" t="str">
            <v>Category02</v>
          </cell>
          <cell r="D12" t="str">
            <v>Lt</v>
          </cell>
          <cell r="E12">
            <v>44</v>
          </cell>
          <cell r="F12">
            <v>48.4</v>
          </cell>
        </row>
        <row r="13">
          <cell r="A13" t="str">
            <v>P0012</v>
          </cell>
          <cell r="B13" t="str">
            <v>Product12</v>
          </cell>
          <cell r="C13" t="str">
            <v>Category02</v>
          </cell>
          <cell r="D13" t="str">
            <v>Kg</v>
          </cell>
          <cell r="E13">
            <v>73</v>
          </cell>
          <cell r="F13">
            <v>94.17</v>
          </cell>
        </row>
        <row r="14">
          <cell r="A14" t="str">
            <v>P0013</v>
          </cell>
          <cell r="B14" t="str">
            <v>Product13</v>
          </cell>
          <cell r="C14" t="str">
            <v>Category02</v>
          </cell>
          <cell r="D14" t="str">
            <v>Kg</v>
          </cell>
          <cell r="E14">
            <v>112</v>
          </cell>
          <cell r="F14">
            <v>122.08</v>
          </cell>
        </row>
        <row r="15">
          <cell r="A15" t="str">
            <v>P0014</v>
          </cell>
          <cell r="B15" t="str">
            <v>Product14</v>
          </cell>
          <cell r="C15" t="str">
            <v>Category02</v>
          </cell>
          <cell r="D15" t="str">
            <v>Kg</v>
          </cell>
          <cell r="E15">
            <v>112</v>
          </cell>
          <cell r="F15">
            <v>146.72</v>
          </cell>
        </row>
        <row r="16">
          <cell r="A16" t="str">
            <v>P0015</v>
          </cell>
          <cell r="B16" t="str">
            <v>Product15</v>
          </cell>
          <cell r="C16" t="str">
            <v>Category02</v>
          </cell>
          <cell r="D16" t="str">
            <v>No.</v>
          </cell>
          <cell r="E16">
            <v>12</v>
          </cell>
          <cell r="F16">
            <v>15.719999999999999</v>
          </cell>
        </row>
        <row r="17">
          <cell r="A17" t="str">
            <v>P0016</v>
          </cell>
          <cell r="B17" t="str">
            <v>Product16</v>
          </cell>
          <cell r="C17" t="str">
            <v>Category02</v>
          </cell>
          <cell r="D17" t="str">
            <v>No.</v>
          </cell>
          <cell r="E17">
            <v>13</v>
          </cell>
          <cell r="F17">
            <v>16.64</v>
          </cell>
        </row>
        <row r="18">
          <cell r="A18" t="str">
            <v>P0017</v>
          </cell>
          <cell r="B18" t="str">
            <v>Product17</v>
          </cell>
          <cell r="C18" t="str">
            <v>Category02</v>
          </cell>
          <cell r="D18" t="str">
            <v>Ft</v>
          </cell>
          <cell r="E18">
            <v>134</v>
          </cell>
          <cell r="F18">
            <v>156.78</v>
          </cell>
        </row>
        <row r="19">
          <cell r="A19" t="str">
            <v>P0018</v>
          </cell>
          <cell r="B19" t="str">
            <v>Product18</v>
          </cell>
          <cell r="C19" t="str">
            <v>Category02</v>
          </cell>
          <cell r="D19" t="str">
            <v>No.</v>
          </cell>
          <cell r="E19">
            <v>37</v>
          </cell>
          <cell r="F19">
            <v>49.21</v>
          </cell>
        </row>
        <row r="20">
          <cell r="A20" t="str">
            <v>P0019</v>
          </cell>
          <cell r="B20" t="str">
            <v>Product19</v>
          </cell>
          <cell r="C20" t="str">
            <v>Category02</v>
          </cell>
          <cell r="D20" t="str">
            <v>Ft</v>
          </cell>
          <cell r="E20">
            <v>150</v>
          </cell>
          <cell r="F20">
            <v>210</v>
          </cell>
        </row>
        <row r="21">
          <cell r="A21" t="str">
            <v>P0020</v>
          </cell>
          <cell r="B21" t="str">
            <v>Product20</v>
          </cell>
          <cell r="C21" t="str">
            <v>Category03</v>
          </cell>
          <cell r="D21" t="str">
            <v>Lt</v>
          </cell>
          <cell r="E21">
            <v>61</v>
          </cell>
          <cell r="F21">
            <v>76.25</v>
          </cell>
        </row>
        <row r="22">
          <cell r="A22" t="str">
            <v>P0021</v>
          </cell>
          <cell r="B22" t="str">
            <v>Product21</v>
          </cell>
          <cell r="C22" t="str">
            <v>Category03</v>
          </cell>
          <cell r="D22" t="str">
            <v>Ft</v>
          </cell>
          <cell r="E22">
            <v>126</v>
          </cell>
          <cell r="F22">
            <v>162.54</v>
          </cell>
        </row>
        <row r="23">
          <cell r="A23" t="str">
            <v>P0022</v>
          </cell>
          <cell r="B23" t="str">
            <v>Product22</v>
          </cell>
          <cell r="C23" t="str">
            <v>Category03</v>
          </cell>
          <cell r="D23" t="str">
            <v>Ft</v>
          </cell>
          <cell r="E23">
            <v>121</v>
          </cell>
          <cell r="F23">
            <v>141.57</v>
          </cell>
        </row>
        <row r="24">
          <cell r="A24" t="str">
            <v>P0023</v>
          </cell>
          <cell r="B24" t="str">
            <v>Product23</v>
          </cell>
          <cell r="C24" t="str">
            <v>Category03</v>
          </cell>
          <cell r="D24" t="str">
            <v>Ft</v>
          </cell>
          <cell r="E24">
            <v>141</v>
          </cell>
          <cell r="F24">
            <v>149.46</v>
          </cell>
        </row>
        <row r="25">
          <cell r="A25" t="str">
            <v>P0024</v>
          </cell>
          <cell r="B25" t="str">
            <v>Product24</v>
          </cell>
          <cell r="C25" t="str">
            <v>Category03</v>
          </cell>
          <cell r="D25" t="str">
            <v>Ft</v>
          </cell>
          <cell r="E25">
            <v>144</v>
          </cell>
          <cell r="F25">
            <v>156.96</v>
          </cell>
        </row>
        <row r="26">
          <cell r="A26" t="str">
            <v>P0025</v>
          </cell>
          <cell r="B26" t="str">
            <v>Product25</v>
          </cell>
          <cell r="C26" t="str">
            <v>Category03</v>
          </cell>
          <cell r="D26" t="str">
            <v>No.</v>
          </cell>
          <cell r="E26">
            <v>7</v>
          </cell>
          <cell r="F26">
            <v>8.33</v>
          </cell>
        </row>
        <row r="27">
          <cell r="A27" t="str">
            <v>P0026</v>
          </cell>
          <cell r="B27" t="str">
            <v>Product26</v>
          </cell>
          <cell r="C27" t="str">
            <v>Category04</v>
          </cell>
          <cell r="D27" t="str">
            <v>No.</v>
          </cell>
          <cell r="E27">
            <v>18</v>
          </cell>
          <cell r="F27">
            <v>24.66</v>
          </cell>
        </row>
        <row r="28">
          <cell r="A28" t="str">
            <v>P0027</v>
          </cell>
          <cell r="B28" t="str">
            <v>Product27</v>
          </cell>
          <cell r="C28" t="str">
            <v>Category04</v>
          </cell>
          <cell r="D28" t="str">
            <v>Lt</v>
          </cell>
          <cell r="E28">
            <v>48</v>
          </cell>
          <cell r="F28">
            <v>57.120000000000005</v>
          </cell>
        </row>
        <row r="29">
          <cell r="A29" t="str">
            <v>P0028</v>
          </cell>
          <cell r="B29" t="str">
            <v>Product28</v>
          </cell>
          <cell r="C29" t="str">
            <v>Category04</v>
          </cell>
          <cell r="D29" t="str">
            <v>No.</v>
          </cell>
          <cell r="E29">
            <v>37</v>
          </cell>
          <cell r="F29">
            <v>41.81</v>
          </cell>
        </row>
        <row r="30">
          <cell r="A30" t="str">
            <v>P0029</v>
          </cell>
          <cell r="B30" t="str">
            <v>Product29</v>
          </cell>
          <cell r="C30" t="str">
            <v>Category04</v>
          </cell>
          <cell r="D30" t="str">
            <v>Lt</v>
          </cell>
          <cell r="E30">
            <v>47</v>
          </cell>
          <cell r="F30">
            <v>53.11</v>
          </cell>
        </row>
        <row r="31">
          <cell r="A31" t="str">
            <v>P0030</v>
          </cell>
          <cell r="B31" t="str">
            <v>Product30</v>
          </cell>
          <cell r="C31" t="str">
            <v>Category04</v>
          </cell>
          <cell r="D31" t="str">
            <v>Ft</v>
          </cell>
          <cell r="E31">
            <v>148</v>
          </cell>
          <cell r="F31">
            <v>201.28</v>
          </cell>
        </row>
        <row r="32">
          <cell r="A32" t="str">
            <v>P0031</v>
          </cell>
          <cell r="B32" t="str">
            <v>Product31</v>
          </cell>
          <cell r="C32" t="str">
            <v>Category04</v>
          </cell>
          <cell r="D32" t="str">
            <v>Kg</v>
          </cell>
          <cell r="E32">
            <v>93</v>
          </cell>
          <cell r="F32">
            <v>104.16</v>
          </cell>
        </row>
        <row r="33">
          <cell r="A33" t="str">
            <v>P0032</v>
          </cell>
          <cell r="B33" t="str">
            <v>Product32</v>
          </cell>
          <cell r="C33" t="str">
            <v>Category04</v>
          </cell>
          <cell r="D33" t="str">
            <v>Kg</v>
          </cell>
          <cell r="E33">
            <v>89</v>
          </cell>
          <cell r="F33">
            <v>117.48</v>
          </cell>
        </row>
        <row r="34">
          <cell r="A34" t="str">
            <v>P0033</v>
          </cell>
          <cell r="B34" t="str">
            <v>Product33</v>
          </cell>
          <cell r="C34" t="str">
            <v>Category04</v>
          </cell>
          <cell r="D34" t="str">
            <v>Kg</v>
          </cell>
          <cell r="E34">
            <v>95</v>
          </cell>
          <cell r="F34">
            <v>119.7</v>
          </cell>
        </row>
        <row r="35">
          <cell r="A35" t="str">
            <v>P0034</v>
          </cell>
          <cell r="B35" t="str">
            <v>Product34</v>
          </cell>
          <cell r="C35" t="str">
            <v>Category04</v>
          </cell>
          <cell r="D35" t="str">
            <v>Lt</v>
          </cell>
          <cell r="E35">
            <v>55</v>
          </cell>
          <cell r="F35">
            <v>58.3</v>
          </cell>
        </row>
        <row r="36">
          <cell r="A36" t="str">
            <v>P0035</v>
          </cell>
          <cell r="B36" t="str">
            <v>Product35</v>
          </cell>
          <cell r="C36" t="str">
            <v>Category04</v>
          </cell>
          <cell r="D36" t="str">
            <v>No.</v>
          </cell>
          <cell r="E36">
            <v>5</v>
          </cell>
          <cell r="F36">
            <v>6.7</v>
          </cell>
        </row>
        <row r="37">
          <cell r="A37" t="str">
            <v>P0036</v>
          </cell>
          <cell r="B37" t="str">
            <v>Product36</v>
          </cell>
          <cell r="C37" t="str">
            <v>Category04</v>
          </cell>
          <cell r="D37" t="str">
            <v>Kg</v>
          </cell>
          <cell r="E37">
            <v>90</v>
          </cell>
          <cell r="F37">
            <v>96.3</v>
          </cell>
        </row>
        <row r="38">
          <cell r="A38" t="str">
            <v>P0037</v>
          </cell>
          <cell r="B38" t="str">
            <v>Product37</v>
          </cell>
          <cell r="C38" t="str">
            <v>Category05</v>
          </cell>
          <cell r="D38" t="str">
            <v>Kg</v>
          </cell>
          <cell r="E38">
            <v>67</v>
          </cell>
          <cell r="F38">
            <v>85.76</v>
          </cell>
        </row>
        <row r="39">
          <cell r="A39" t="str">
            <v>P0038</v>
          </cell>
          <cell r="B39" t="str">
            <v>Product38</v>
          </cell>
          <cell r="C39" t="str">
            <v>Category05</v>
          </cell>
          <cell r="D39" t="str">
            <v>Kg</v>
          </cell>
          <cell r="E39">
            <v>72</v>
          </cell>
          <cell r="F39">
            <v>79.92</v>
          </cell>
        </row>
        <row r="40">
          <cell r="A40" t="str">
            <v>P0039</v>
          </cell>
          <cell r="B40" t="str">
            <v>Product39</v>
          </cell>
          <cell r="C40" t="str">
            <v>Category05</v>
          </cell>
          <cell r="D40" t="str">
            <v>No.</v>
          </cell>
          <cell r="E40">
            <v>37</v>
          </cell>
          <cell r="F40">
            <v>42.55</v>
          </cell>
        </row>
        <row r="41">
          <cell r="A41" t="str">
            <v>P0040</v>
          </cell>
          <cell r="B41" t="str">
            <v>Product40</v>
          </cell>
          <cell r="C41" t="str">
            <v>Category05</v>
          </cell>
          <cell r="D41" t="str">
            <v>Kg</v>
          </cell>
          <cell r="E41">
            <v>90</v>
          </cell>
          <cell r="F41">
            <v>115.2</v>
          </cell>
        </row>
        <row r="42">
          <cell r="A42" t="str">
            <v>P0041</v>
          </cell>
          <cell r="B42" t="str">
            <v>Product41</v>
          </cell>
          <cell r="C42" t="str">
            <v>Category05</v>
          </cell>
          <cell r="D42" t="str">
            <v>Ft</v>
          </cell>
          <cell r="E42">
            <v>138</v>
          </cell>
          <cell r="F42">
            <v>173.88</v>
          </cell>
        </row>
        <row r="43">
          <cell r="A43" t="str">
            <v>P0042</v>
          </cell>
          <cell r="B43" t="str">
            <v>Product42</v>
          </cell>
          <cell r="C43" t="str">
            <v>Category05</v>
          </cell>
          <cell r="D43" t="str">
            <v>Ft</v>
          </cell>
          <cell r="E43">
            <v>120</v>
          </cell>
          <cell r="F43">
            <v>162</v>
          </cell>
        </row>
        <row r="44">
          <cell r="A44" t="str">
            <v>P0043</v>
          </cell>
          <cell r="B44" t="str">
            <v>Product43</v>
          </cell>
          <cell r="C44" t="str">
            <v>Category05</v>
          </cell>
          <cell r="D44" t="str">
            <v>Kg</v>
          </cell>
          <cell r="E44">
            <v>67</v>
          </cell>
          <cell r="F44">
            <v>83.08</v>
          </cell>
        </row>
        <row r="45">
          <cell r="A45" t="str">
            <v>P0044</v>
          </cell>
          <cell r="B45" t="str">
            <v>Product44</v>
          </cell>
          <cell r="C45" t="str">
            <v>Category05</v>
          </cell>
          <cell r="D45" t="str">
            <v>Kg</v>
          </cell>
          <cell r="E45">
            <v>76</v>
          </cell>
          <cell r="F45">
            <v>82.08</v>
          </cell>
        </row>
        <row r="46">
          <cell r="A46" t="str">
            <v>P0045</v>
          </cell>
          <cell r="B46" t="str">
            <v>Product45</v>
          </cell>
          <cell r="C46" t="str">
            <v>Category05</v>
          </cell>
          <cell r="D46" t="str">
            <v>Kg</v>
          </cell>
          <cell r="E46">
            <v>50</v>
          </cell>
          <cell r="F46">
            <v>62</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5.675013541666" createdVersion="7" refreshedVersion="7" minRefreshableVersion="3" recordCount="527" xr:uid="{19C36AD5-E47C-43BA-97F2-7EB371D0C712}">
  <cacheSource type="worksheet">
    <worksheetSource ref="A1:I528" sheet="Raw Data"/>
  </cacheSource>
  <cacheFields count="9">
    <cacheField name="DATE" numFmtId="14">
      <sharedItems containsSemiMixedTypes="0" containsNonDate="0" containsDate="1" containsString="0" minDate="2021-01-01T00:00:00" maxDate="2023-01-01T00:00:00"/>
    </cacheField>
    <cacheField name="Month" numFmtId="14">
      <sharedItems count="12">
        <s v="Jan"/>
        <s v="Feb"/>
        <s v="Mar"/>
        <s v="Apr"/>
        <s v="May"/>
        <s v="Jun"/>
        <s v="Jul"/>
        <s v="Aug"/>
        <s v="Sep"/>
        <s v="Oct"/>
        <s v="Nov"/>
        <s v="Dec"/>
      </sharedItems>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Year" numFmtId="14">
      <sharedItems count="2">
        <s v="2021"/>
        <s v="2022"/>
      </sharedItems>
    </cacheField>
    <cacheField name="PRODUCT ID" numFmtId="0">
      <sharedItems count="44">
        <s v="P0024"/>
        <s v="P0038"/>
        <s v="P0013"/>
        <s v="P0004"/>
        <s v="P0035"/>
        <s v="P0031"/>
        <s v="P0003"/>
        <s v="P0025"/>
        <s v="P0037"/>
        <s v="P0014"/>
        <s v="P0042"/>
        <s v="P0044"/>
        <s v="P0023"/>
        <s v="P0034"/>
        <s v="P0020"/>
        <s v="P0006"/>
        <s v="P0001"/>
        <s v="P0040"/>
        <s v="P0032"/>
        <s v="P0029"/>
        <s v="P0010"/>
        <s v="P0016"/>
        <s v="P0022"/>
        <s v="P0043"/>
        <s v="P0005"/>
        <s v="P0008"/>
        <s v="P0027"/>
        <s v="P0015"/>
        <s v="P0030"/>
        <s v="P0002"/>
        <s v="P0018"/>
        <s v="P0011"/>
        <s v="P0021"/>
        <s v="P0028"/>
        <s v="P0039"/>
        <s v="P0012"/>
        <s v="P0007"/>
        <s v="P0009"/>
        <s v="P0033"/>
        <s v="P0017"/>
        <s v="P0019"/>
        <s v="P0041"/>
        <s v="P0026"/>
        <s v="P0036"/>
      </sharedItems>
    </cacheField>
    <cacheField name="QUANTITY" numFmtId="0">
      <sharedItems containsSemiMixedTypes="0" containsString="0" containsNumber="1" containsInteger="1" minValue="1" maxValue="15"/>
    </cacheField>
    <cacheField name="PAYMENT MODE" numFmtId="0">
      <sharedItems count="2">
        <s v="Online"/>
        <s v="Cash"/>
      </sharedItems>
    </cacheField>
    <cacheField name="Total Buying Price" numFmtId="0">
      <sharedItems containsSemiMixedTypes="0" containsString="0" containsNumber="1" containsInteger="1" minValue="5" maxValue="2250"/>
    </cacheField>
    <cacheField name="Total Selling Price" numFmtId="0">
      <sharedItems containsSemiMixedTypes="0" containsString="0" containsNumber="1" minValue="6.7" maxValue="3150"/>
    </cacheField>
  </cacheFields>
  <extLst>
    <ext xmlns:x14="http://schemas.microsoft.com/office/spreadsheetml/2009/9/main" uri="{725AE2AE-9491-48be-B2B4-4EB974FC3084}">
      <x14:pivotCacheDefinition pivotCacheId="512849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x v="0"/>
    <x v="0"/>
    <x v="0"/>
    <x v="0"/>
    <n v="9"/>
    <x v="0"/>
    <n v="1296"/>
    <n v="1412.64"/>
  </r>
  <r>
    <d v="2021-01-02T00:00:00"/>
    <x v="0"/>
    <x v="1"/>
    <x v="0"/>
    <x v="1"/>
    <n v="15"/>
    <x v="1"/>
    <n v="1080"/>
    <n v="1198.8"/>
  </r>
  <r>
    <d v="2021-01-02T00:00:00"/>
    <x v="0"/>
    <x v="1"/>
    <x v="0"/>
    <x v="2"/>
    <n v="6"/>
    <x v="1"/>
    <n v="672"/>
    <n v="732.48"/>
  </r>
  <r>
    <d v="2021-01-03T00:00:00"/>
    <x v="0"/>
    <x v="2"/>
    <x v="0"/>
    <x v="3"/>
    <n v="5"/>
    <x v="0"/>
    <n v="220"/>
    <n v="244.20000000000002"/>
  </r>
  <r>
    <d v="2021-01-04T00:00:00"/>
    <x v="0"/>
    <x v="3"/>
    <x v="0"/>
    <x v="4"/>
    <n v="12"/>
    <x v="0"/>
    <n v="60"/>
    <n v="80.400000000000006"/>
  </r>
  <r>
    <d v="2021-01-09T00:00:00"/>
    <x v="0"/>
    <x v="4"/>
    <x v="0"/>
    <x v="5"/>
    <n v="1"/>
    <x v="1"/>
    <n v="93"/>
    <n v="104.16"/>
  </r>
  <r>
    <d v="2021-01-09T00:00:00"/>
    <x v="0"/>
    <x v="4"/>
    <x v="0"/>
    <x v="6"/>
    <n v="8"/>
    <x v="1"/>
    <n v="568"/>
    <n v="647.52"/>
  </r>
  <r>
    <d v="2021-01-09T00:00:00"/>
    <x v="0"/>
    <x v="4"/>
    <x v="0"/>
    <x v="7"/>
    <n v="4"/>
    <x v="0"/>
    <n v="28"/>
    <n v="33.32"/>
  </r>
  <r>
    <d v="2021-01-11T00:00:00"/>
    <x v="0"/>
    <x v="5"/>
    <x v="0"/>
    <x v="8"/>
    <n v="3"/>
    <x v="1"/>
    <n v="201"/>
    <n v="257.28000000000003"/>
  </r>
  <r>
    <d v="2021-01-11T00:00:00"/>
    <x v="0"/>
    <x v="5"/>
    <x v="0"/>
    <x v="9"/>
    <n v="4"/>
    <x v="0"/>
    <n v="448"/>
    <n v="586.88"/>
  </r>
  <r>
    <d v="2021-01-11T00:00:00"/>
    <x v="0"/>
    <x v="5"/>
    <x v="0"/>
    <x v="10"/>
    <n v="4"/>
    <x v="0"/>
    <n v="480"/>
    <n v="648"/>
  </r>
  <r>
    <d v="2021-01-12T00:00:00"/>
    <x v="0"/>
    <x v="6"/>
    <x v="0"/>
    <x v="10"/>
    <n v="10"/>
    <x v="1"/>
    <n v="1200"/>
    <n v="1620"/>
  </r>
  <r>
    <d v="2021-01-18T00:00:00"/>
    <x v="0"/>
    <x v="7"/>
    <x v="0"/>
    <x v="11"/>
    <n v="13"/>
    <x v="0"/>
    <n v="988"/>
    <n v="1067.04"/>
  </r>
  <r>
    <d v="2021-01-18T00:00:00"/>
    <x v="0"/>
    <x v="7"/>
    <x v="0"/>
    <x v="12"/>
    <n v="3"/>
    <x v="1"/>
    <n v="423"/>
    <n v="448.38"/>
  </r>
  <r>
    <d v="2021-01-19T00:00:00"/>
    <x v="0"/>
    <x v="8"/>
    <x v="0"/>
    <x v="4"/>
    <n v="6"/>
    <x v="1"/>
    <n v="30"/>
    <n v="40.200000000000003"/>
  </r>
  <r>
    <d v="2021-01-20T00:00:00"/>
    <x v="0"/>
    <x v="9"/>
    <x v="0"/>
    <x v="13"/>
    <n v="4"/>
    <x v="1"/>
    <n v="220"/>
    <n v="233.2"/>
  </r>
  <r>
    <d v="2021-01-20T00:00:00"/>
    <x v="0"/>
    <x v="9"/>
    <x v="0"/>
    <x v="14"/>
    <n v="4"/>
    <x v="1"/>
    <n v="244"/>
    <n v="305"/>
  </r>
  <r>
    <d v="2021-01-21T00:00:00"/>
    <x v="0"/>
    <x v="10"/>
    <x v="0"/>
    <x v="3"/>
    <n v="15"/>
    <x v="1"/>
    <n v="660"/>
    <n v="732.6"/>
  </r>
  <r>
    <d v="2021-01-21T00:00:00"/>
    <x v="0"/>
    <x v="10"/>
    <x v="0"/>
    <x v="6"/>
    <n v="9"/>
    <x v="0"/>
    <n v="639"/>
    <n v="728.46"/>
  </r>
  <r>
    <d v="2021-01-21T00:00:00"/>
    <x v="0"/>
    <x v="10"/>
    <x v="0"/>
    <x v="10"/>
    <n v="6"/>
    <x v="0"/>
    <n v="720"/>
    <n v="972"/>
  </r>
  <r>
    <d v="2021-01-25T00:00:00"/>
    <x v="0"/>
    <x v="11"/>
    <x v="0"/>
    <x v="13"/>
    <n v="6"/>
    <x v="1"/>
    <n v="330"/>
    <n v="349.79999999999995"/>
  </r>
  <r>
    <d v="2021-01-25T00:00:00"/>
    <x v="0"/>
    <x v="11"/>
    <x v="0"/>
    <x v="4"/>
    <n v="7"/>
    <x v="0"/>
    <n v="35"/>
    <n v="46.9"/>
  </r>
  <r>
    <d v="2021-01-25T00:00:00"/>
    <x v="0"/>
    <x v="11"/>
    <x v="0"/>
    <x v="5"/>
    <n v="14"/>
    <x v="0"/>
    <n v="1302"/>
    <n v="1458.24"/>
  </r>
  <r>
    <d v="2021-01-26T00:00:00"/>
    <x v="0"/>
    <x v="12"/>
    <x v="0"/>
    <x v="11"/>
    <n v="9"/>
    <x v="1"/>
    <n v="684"/>
    <n v="738.72"/>
  </r>
  <r>
    <d v="2021-01-26T00:00:00"/>
    <x v="0"/>
    <x v="12"/>
    <x v="0"/>
    <x v="15"/>
    <n v="7"/>
    <x v="1"/>
    <n v="525"/>
    <n v="598.5"/>
  </r>
  <r>
    <d v="2021-01-26T00:00:00"/>
    <x v="0"/>
    <x v="12"/>
    <x v="0"/>
    <x v="16"/>
    <n v="7"/>
    <x v="0"/>
    <n v="686"/>
    <n v="727.16"/>
  </r>
  <r>
    <d v="2021-01-27T00:00:00"/>
    <x v="0"/>
    <x v="13"/>
    <x v="0"/>
    <x v="17"/>
    <n v="7"/>
    <x v="0"/>
    <n v="630"/>
    <n v="806.4"/>
  </r>
  <r>
    <d v="2021-01-27T00:00:00"/>
    <x v="0"/>
    <x v="13"/>
    <x v="0"/>
    <x v="18"/>
    <n v="3"/>
    <x v="0"/>
    <n v="267"/>
    <n v="352.44"/>
  </r>
  <r>
    <d v="2021-01-28T00:00:00"/>
    <x v="0"/>
    <x v="14"/>
    <x v="0"/>
    <x v="3"/>
    <n v="10"/>
    <x v="1"/>
    <n v="440"/>
    <n v="488.40000000000003"/>
  </r>
  <r>
    <d v="2021-01-28T00:00:00"/>
    <x v="0"/>
    <x v="14"/>
    <x v="0"/>
    <x v="19"/>
    <n v="2"/>
    <x v="1"/>
    <n v="94"/>
    <n v="106.22"/>
  </r>
  <r>
    <d v="2021-02-02T00:00:00"/>
    <x v="1"/>
    <x v="1"/>
    <x v="0"/>
    <x v="20"/>
    <n v="7"/>
    <x v="0"/>
    <n v="1036"/>
    <n v="1149.96"/>
  </r>
  <r>
    <d v="2021-02-03T00:00:00"/>
    <x v="1"/>
    <x v="2"/>
    <x v="0"/>
    <x v="21"/>
    <n v="13"/>
    <x v="0"/>
    <n v="169"/>
    <n v="216.32"/>
  </r>
  <r>
    <d v="2021-02-03T00:00:00"/>
    <x v="1"/>
    <x v="2"/>
    <x v="0"/>
    <x v="22"/>
    <n v="2"/>
    <x v="1"/>
    <n v="242"/>
    <n v="283.14"/>
  </r>
  <r>
    <d v="2021-02-04T00:00:00"/>
    <x v="1"/>
    <x v="3"/>
    <x v="0"/>
    <x v="8"/>
    <n v="4"/>
    <x v="0"/>
    <n v="268"/>
    <n v="343.04"/>
  </r>
  <r>
    <d v="2021-02-05T00:00:00"/>
    <x v="1"/>
    <x v="15"/>
    <x v="0"/>
    <x v="23"/>
    <n v="7"/>
    <x v="1"/>
    <n v="469"/>
    <n v="581.55999999999995"/>
  </r>
  <r>
    <d v="2021-02-05T00:00:00"/>
    <x v="1"/>
    <x v="15"/>
    <x v="0"/>
    <x v="24"/>
    <n v="1"/>
    <x v="1"/>
    <n v="133"/>
    <n v="155.61000000000001"/>
  </r>
  <r>
    <d v="2021-02-05T00:00:00"/>
    <x v="1"/>
    <x v="15"/>
    <x v="0"/>
    <x v="23"/>
    <n v="9"/>
    <x v="1"/>
    <n v="603"/>
    <n v="747.72"/>
  </r>
  <r>
    <d v="2021-02-06T00:00:00"/>
    <x v="1"/>
    <x v="16"/>
    <x v="0"/>
    <x v="4"/>
    <n v="1"/>
    <x v="1"/>
    <n v="5"/>
    <n v="6.7"/>
  </r>
  <r>
    <d v="2021-02-09T00:00:00"/>
    <x v="1"/>
    <x v="4"/>
    <x v="0"/>
    <x v="13"/>
    <n v="14"/>
    <x v="0"/>
    <n v="770"/>
    <n v="816.19999999999993"/>
  </r>
  <r>
    <d v="2021-02-12T00:00:00"/>
    <x v="1"/>
    <x v="6"/>
    <x v="0"/>
    <x v="25"/>
    <n v="7"/>
    <x v="1"/>
    <n v="581"/>
    <n v="662.34"/>
  </r>
  <r>
    <d v="2021-02-12T00:00:00"/>
    <x v="1"/>
    <x v="6"/>
    <x v="0"/>
    <x v="12"/>
    <n v="9"/>
    <x v="1"/>
    <n v="1269"/>
    <n v="1345.14"/>
  </r>
  <r>
    <d v="2021-02-15T00:00:00"/>
    <x v="1"/>
    <x v="17"/>
    <x v="0"/>
    <x v="26"/>
    <n v="4"/>
    <x v="0"/>
    <n v="192"/>
    <n v="228.48000000000002"/>
  </r>
  <r>
    <d v="2021-02-18T00:00:00"/>
    <x v="1"/>
    <x v="7"/>
    <x v="0"/>
    <x v="27"/>
    <n v="6"/>
    <x v="1"/>
    <n v="72"/>
    <n v="94.32"/>
  </r>
  <r>
    <d v="2021-02-20T00:00:00"/>
    <x v="1"/>
    <x v="9"/>
    <x v="0"/>
    <x v="28"/>
    <n v="11"/>
    <x v="1"/>
    <n v="1628"/>
    <n v="2214.08"/>
  </r>
  <r>
    <d v="2021-02-22T00:00:00"/>
    <x v="1"/>
    <x v="18"/>
    <x v="0"/>
    <x v="2"/>
    <n v="5"/>
    <x v="1"/>
    <n v="560"/>
    <n v="610.4"/>
  </r>
  <r>
    <d v="2021-02-23T00:00:00"/>
    <x v="1"/>
    <x v="19"/>
    <x v="0"/>
    <x v="7"/>
    <n v="3"/>
    <x v="1"/>
    <n v="21"/>
    <n v="24.990000000000002"/>
  </r>
  <r>
    <d v="2021-02-23T00:00:00"/>
    <x v="1"/>
    <x v="19"/>
    <x v="0"/>
    <x v="24"/>
    <n v="2"/>
    <x v="0"/>
    <n v="266"/>
    <n v="311.22000000000003"/>
  </r>
  <r>
    <d v="2021-02-25T00:00:00"/>
    <x v="1"/>
    <x v="11"/>
    <x v="0"/>
    <x v="29"/>
    <n v="4"/>
    <x v="0"/>
    <n v="420"/>
    <n v="571.20000000000005"/>
  </r>
  <r>
    <d v="2021-02-25T00:00:00"/>
    <x v="1"/>
    <x v="11"/>
    <x v="0"/>
    <x v="18"/>
    <n v="11"/>
    <x v="1"/>
    <n v="979"/>
    <n v="1292.28"/>
  </r>
  <r>
    <d v="2021-02-25T00:00:00"/>
    <x v="1"/>
    <x v="11"/>
    <x v="0"/>
    <x v="28"/>
    <n v="2"/>
    <x v="0"/>
    <n v="296"/>
    <n v="402.56"/>
  </r>
  <r>
    <d v="2021-02-27T00:00:00"/>
    <x v="1"/>
    <x v="13"/>
    <x v="0"/>
    <x v="30"/>
    <n v="11"/>
    <x v="0"/>
    <n v="407"/>
    <n v="541.31000000000006"/>
  </r>
  <r>
    <d v="2021-03-03T00:00:00"/>
    <x v="2"/>
    <x v="2"/>
    <x v="0"/>
    <x v="31"/>
    <n v="1"/>
    <x v="0"/>
    <n v="44"/>
    <n v="48.4"/>
  </r>
  <r>
    <d v="2021-03-07T00:00:00"/>
    <x v="2"/>
    <x v="20"/>
    <x v="0"/>
    <x v="32"/>
    <n v="9"/>
    <x v="1"/>
    <n v="1134"/>
    <n v="1462.86"/>
  </r>
  <r>
    <d v="2021-03-08T00:00:00"/>
    <x v="2"/>
    <x v="21"/>
    <x v="0"/>
    <x v="26"/>
    <n v="6"/>
    <x v="1"/>
    <n v="288"/>
    <n v="342.72"/>
  </r>
  <r>
    <d v="2021-03-08T00:00:00"/>
    <x v="2"/>
    <x v="21"/>
    <x v="0"/>
    <x v="11"/>
    <n v="9"/>
    <x v="0"/>
    <n v="684"/>
    <n v="738.72"/>
  </r>
  <r>
    <d v="2021-03-09T00:00:00"/>
    <x v="2"/>
    <x v="4"/>
    <x v="0"/>
    <x v="19"/>
    <n v="6"/>
    <x v="0"/>
    <n v="282"/>
    <n v="318.65999999999997"/>
  </r>
  <r>
    <d v="2021-03-11T00:00:00"/>
    <x v="2"/>
    <x v="5"/>
    <x v="0"/>
    <x v="7"/>
    <n v="11"/>
    <x v="1"/>
    <n v="77"/>
    <n v="91.63"/>
  </r>
  <r>
    <d v="2021-03-13T00:00:00"/>
    <x v="2"/>
    <x v="22"/>
    <x v="0"/>
    <x v="33"/>
    <n v="10"/>
    <x v="1"/>
    <n v="370"/>
    <n v="418.1"/>
  </r>
  <r>
    <d v="2021-03-15T00:00:00"/>
    <x v="2"/>
    <x v="17"/>
    <x v="0"/>
    <x v="34"/>
    <n v="11"/>
    <x v="1"/>
    <n v="407"/>
    <n v="468.04999999999995"/>
  </r>
  <r>
    <d v="2021-03-16T00:00:00"/>
    <x v="2"/>
    <x v="23"/>
    <x v="0"/>
    <x v="35"/>
    <n v="14"/>
    <x v="1"/>
    <n v="1022"/>
    <n v="1318.38"/>
  </r>
  <r>
    <d v="2021-03-18T00:00:00"/>
    <x v="2"/>
    <x v="7"/>
    <x v="0"/>
    <x v="10"/>
    <n v="8"/>
    <x v="1"/>
    <n v="960"/>
    <n v="1296"/>
  </r>
  <r>
    <d v="2021-03-19T00:00:00"/>
    <x v="2"/>
    <x v="8"/>
    <x v="0"/>
    <x v="33"/>
    <n v="9"/>
    <x v="1"/>
    <n v="333"/>
    <n v="376.29"/>
  </r>
  <r>
    <d v="2021-03-21T00:00:00"/>
    <x v="2"/>
    <x v="10"/>
    <x v="0"/>
    <x v="14"/>
    <n v="13"/>
    <x v="0"/>
    <n v="793"/>
    <n v="991.25"/>
  </r>
  <r>
    <d v="2021-03-21T00:00:00"/>
    <x v="2"/>
    <x v="10"/>
    <x v="0"/>
    <x v="34"/>
    <n v="7"/>
    <x v="0"/>
    <n v="259"/>
    <n v="297.84999999999997"/>
  </r>
  <r>
    <d v="2021-03-22T00:00:00"/>
    <x v="2"/>
    <x v="18"/>
    <x v="0"/>
    <x v="29"/>
    <n v="8"/>
    <x v="0"/>
    <n v="840"/>
    <n v="1142.4000000000001"/>
  </r>
  <r>
    <d v="2021-03-22T00:00:00"/>
    <x v="2"/>
    <x v="18"/>
    <x v="0"/>
    <x v="35"/>
    <n v="4"/>
    <x v="0"/>
    <n v="292"/>
    <n v="376.68"/>
  </r>
  <r>
    <d v="2021-03-25T00:00:00"/>
    <x v="2"/>
    <x v="11"/>
    <x v="0"/>
    <x v="0"/>
    <n v="14"/>
    <x v="1"/>
    <n v="2016"/>
    <n v="2197.44"/>
  </r>
  <r>
    <d v="2021-03-25T00:00:00"/>
    <x v="2"/>
    <x v="11"/>
    <x v="0"/>
    <x v="15"/>
    <n v="4"/>
    <x v="1"/>
    <n v="300"/>
    <n v="342"/>
  </r>
  <r>
    <d v="2021-03-25T00:00:00"/>
    <x v="2"/>
    <x v="11"/>
    <x v="0"/>
    <x v="19"/>
    <n v="8"/>
    <x v="1"/>
    <n v="376"/>
    <n v="424.88"/>
  </r>
  <r>
    <d v="2021-03-25T00:00:00"/>
    <x v="2"/>
    <x v="11"/>
    <x v="0"/>
    <x v="1"/>
    <n v="2"/>
    <x v="0"/>
    <n v="144"/>
    <n v="159.84"/>
  </r>
  <r>
    <d v="2021-03-26T00:00:00"/>
    <x v="2"/>
    <x v="12"/>
    <x v="0"/>
    <x v="16"/>
    <n v="4"/>
    <x v="1"/>
    <n v="392"/>
    <n v="415.52"/>
  </r>
  <r>
    <d v="2021-03-26T00:00:00"/>
    <x v="2"/>
    <x v="12"/>
    <x v="0"/>
    <x v="10"/>
    <n v="1"/>
    <x v="1"/>
    <n v="120"/>
    <n v="162"/>
  </r>
  <r>
    <d v="2021-03-26T00:00:00"/>
    <x v="2"/>
    <x v="12"/>
    <x v="0"/>
    <x v="20"/>
    <n v="9"/>
    <x v="0"/>
    <n v="1332"/>
    <n v="1478.52"/>
  </r>
  <r>
    <d v="2021-03-27T00:00:00"/>
    <x v="2"/>
    <x v="13"/>
    <x v="0"/>
    <x v="28"/>
    <n v="3"/>
    <x v="0"/>
    <n v="444"/>
    <n v="603.84"/>
  </r>
  <r>
    <d v="2021-03-28T00:00:00"/>
    <x v="2"/>
    <x v="14"/>
    <x v="0"/>
    <x v="36"/>
    <n v="8"/>
    <x v="1"/>
    <n v="344"/>
    <n v="381.84000000000003"/>
  </r>
  <r>
    <d v="2021-03-30T00:00:00"/>
    <x v="2"/>
    <x v="24"/>
    <x v="0"/>
    <x v="1"/>
    <n v="1"/>
    <x v="1"/>
    <n v="72"/>
    <n v="79.92"/>
  </r>
  <r>
    <d v="2021-03-31T00:00:00"/>
    <x v="2"/>
    <x v="25"/>
    <x v="0"/>
    <x v="10"/>
    <n v="3"/>
    <x v="1"/>
    <n v="360"/>
    <n v="486"/>
  </r>
  <r>
    <d v="2021-04-04T00:00:00"/>
    <x v="3"/>
    <x v="3"/>
    <x v="0"/>
    <x v="17"/>
    <n v="4"/>
    <x v="1"/>
    <n v="360"/>
    <n v="460.8"/>
  </r>
  <r>
    <d v="2021-04-04T00:00:00"/>
    <x v="3"/>
    <x v="3"/>
    <x v="0"/>
    <x v="37"/>
    <n v="9"/>
    <x v="1"/>
    <n v="54"/>
    <n v="70.739999999999995"/>
  </r>
  <r>
    <d v="2021-04-05T00:00:00"/>
    <x v="3"/>
    <x v="15"/>
    <x v="0"/>
    <x v="5"/>
    <n v="15"/>
    <x v="0"/>
    <n v="1395"/>
    <n v="1562.3999999999999"/>
  </r>
  <r>
    <d v="2021-04-09T00:00:00"/>
    <x v="3"/>
    <x v="4"/>
    <x v="0"/>
    <x v="24"/>
    <n v="3"/>
    <x v="0"/>
    <n v="399"/>
    <n v="466.83000000000004"/>
  </r>
  <r>
    <d v="2021-04-10T00:00:00"/>
    <x v="3"/>
    <x v="26"/>
    <x v="0"/>
    <x v="22"/>
    <n v="14"/>
    <x v="0"/>
    <n v="1694"/>
    <n v="1981.98"/>
  </r>
  <r>
    <d v="2021-04-12T00:00:00"/>
    <x v="3"/>
    <x v="6"/>
    <x v="0"/>
    <x v="8"/>
    <n v="3"/>
    <x v="1"/>
    <n v="201"/>
    <n v="257.28000000000003"/>
  </r>
  <r>
    <d v="2021-04-12T00:00:00"/>
    <x v="3"/>
    <x v="6"/>
    <x v="0"/>
    <x v="19"/>
    <n v="4"/>
    <x v="0"/>
    <n v="188"/>
    <n v="212.44"/>
  </r>
  <r>
    <d v="2021-04-12T00:00:00"/>
    <x v="3"/>
    <x v="6"/>
    <x v="0"/>
    <x v="26"/>
    <n v="9"/>
    <x v="0"/>
    <n v="432"/>
    <n v="514.08000000000004"/>
  </r>
  <r>
    <d v="2021-04-12T00:00:00"/>
    <x v="3"/>
    <x v="6"/>
    <x v="0"/>
    <x v="38"/>
    <n v="13"/>
    <x v="1"/>
    <n v="1235"/>
    <n v="1556.1000000000001"/>
  </r>
  <r>
    <d v="2021-04-15T00:00:00"/>
    <x v="3"/>
    <x v="17"/>
    <x v="0"/>
    <x v="39"/>
    <n v="3"/>
    <x v="0"/>
    <n v="402"/>
    <n v="470.34000000000003"/>
  </r>
  <r>
    <d v="2021-04-16T00:00:00"/>
    <x v="3"/>
    <x v="23"/>
    <x v="0"/>
    <x v="30"/>
    <n v="15"/>
    <x v="1"/>
    <n v="555"/>
    <n v="738.15"/>
  </r>
  <r>
    <d v="2021-04-18T00:00:00"/>
    <x v="3"/>
    <x v="7"/>
    <x v="0"/>
    <x v="1"/>
    <n v="9"/>
    <x v="0"/>
    <n v="648"/>
    <n v="719.28"/>
  </r>
  <r>
    <d v="2021-04-18T00:00:00"/>
    <x v="3"/>
    <x v="7"/>
    <x v="0"/>
    <x v="40"/>
    <n v="13"/>
    <x v="1"/>
    <n v="1950"/>
    <n v="2730"/>
  </r>
  <r>
    <d v="2021-04-23T00:00:00"/>
    <x v="3"/>
    <x v="19"/>
    <x v="0"/>
    <x v="10"/>
    <n v="6"/>
    <x v="0"/>
    <n v="720"/>
    <n v="972"/>
  </r>
  <r>
    <d v="2021-04-23T00:00:00"/>
    <x v="3"/>
    <x v="19"/>
    <x v="0"/>
    <x v="33"/>
    <n v="10"/>
    <x v="0"/>
    <n v="370"/>
    <n v="418.1"/>
  </r>
  <r>
    <d v="2021-04-24T00:00:00"/>
    <x v="3"/>
    <x v="27"/>
    <x v="0"/>
    <x v="28"/>
    <n v="2"/>
    <x v="0"/>
    <n v="296"/>
    <n v="402.56"/>
  </r>
  <r>
    <d v="2021-04-26T00:00:00"/>
    <x v="3"/>
    <x v="12"/>
    <x v="0"/>
    <x v="8"/>
    <n v="3"/>
    <x v="0"/>
    <n v="201"/>
    <n v="257.28000000000003"/>
  </r>
  <r>
    <d v="2021-04-29T00:00:00"/>
    <x v="3"/>
    <x v="28"/>
    <x v="0"/>
    <x v="28"/>
    <n v="7"/>
    <x v="0"/>
    <n v="1036"/>
    <n v="1408.96"/>
  </r>
  <r>
    <d v="2021-04-30T00:00:00"/>
    <x v="3"/>
    <x v="24"/>
    <x v="0"/>
    <x v="19"/>
    <n v="1"/>
    <x v="0"/>
    <n v="47"/>
    <n v="53.11"/>
  </r>
  <r>
    <d v="2021-05-01T00:00:00"/>
    <x v="4"/>
    <x v="0"/>
    <x v="0"/>
    <x v="30"/>
    <n v="3"/>
    <x v="1"/>
    <n v="111"/>
    <n v="147.63"/>
  </r>
  <r>
    <d v="2021-05-01T00:00:00"/>
    <x v="4"/>
    <x v="0"/>
    <x v="0"/>
    <x v="10"/>
    <n v="1"/>
    <x v="1"/>
    <n v="120"/>
    <n v="162"/>
  </r>
  <r>
    <d v="2021-05-03T00:00:00"/>
    <x v="4"/>
    <x v="2"/>
    <x v="0"/>
    <x v="13"/>
    <n v="3"/>
    <x v="0"/>
    <n v="165"/>
    <n v="174.89999999999998"/>
  </r>
  <r>
    <d v="2021-05-04T00:00:00"/>
    <x v="4"/>
    <x v="3"/>
    <x v="0"/>
    <x v="27"/>
    <n v="13"/>
    <x v="0"/>
    <n v="156"/>
    <n v="204.35999999999999"/>
  </r>
  <r>
    <d v="2021-05-04T00:00:00"/>
    <x v="4"/>
    <x v="3"/>
    <x v="0"/>
    <x v="9"/>
    <n v="4"/>
    <x v="1"/>
    <n v="448"/>
    <n v="586.88"/>
  </r>
  <r>
    <d v="2021-05-05T00:00:00"/>
    <x v="4"/>
    <x v="15"/>
    <x v="0"/>
    <x v="37"/>
    <n v="13"/>
    <x v="1"/>
    <n v="78"/>
    <n v="102.17999999999999"/>
  </r>
  <r>
    <d v="2021-05-06T00:00:00"/>
    <x v="4"/>
    <x v="16"/>
    <x v="0"/>
    <x v="25"/>
    <n v="15"/>
    <x v="0"/>
    <n v="1245"/>
    <n v="1419.3000000000002"/>
  </r>
  <r>
    <d v="2021-05-06T00:00:00"/>
    <x v="4"/>
    <x v="16"/>
    <x v="0"/>
    <x v="37"/>
    <n v="6"/>
    <x v="0"/>
    <n v="36"/>
    <n v="47.16"/>
  </r>
  <r>
    <d v="2021-05-07T00:00:00"/>
    <x v="4"/>
    <x v="20"/>
    <x v="0"/>
    <x v="30"/>
    <n v="1"/>
    <x v="1"/>
    <n v="37"/>
    <n v="49.21"/>
  </r>
  <r>
    <d v="2021-05-09T00:00:00"/>
    <x v="4"/>
    <x v="4"/>
    <x v="0"/>
    <x v="21"/>
    <n v="6"/>
    <x v="0"/>
    <n v="78"/>
    <n v="99.84"/>
  </r>
  <r>
    <d v="2021-05-09T00:00:00"/>
    <x v="4"/>
    <x v="4"/>
    <x v="0"/>
    <x v="33"/>
    <n v="8"/>
    <x v="1"/>
    <n v="296"/>
    <n v="334.48"/>
  </r>
  <r>
    <d v="2021-05-12T00:00:00"/>
    <x v="4"/>
    <x v="6"/>
    <x v="0"/>
    <x v="21"/>
    <n v="3"/>
    <x v="0"/>
    <n v="39"/>
    <n v="49.92"/>
  </r>
  <r>
    <d v="2021-05-12T00:00:00"/>
    <x v="4"/>
    <x v="6"/>
    <x v="0"/>
    <x v="4"/>
    <n v="15"/>
    <x v="0"/>
    <n v="75"/>
    <n v="100.5"/>
  </r>
  <r>
    <d v="2021-05-13T00:00:00"/>
    <x v="4"/>
    <x v="22"/>
    <x v="0"/>
    <x v="19"/>
    <n v="4"/>
    <x v="0"/>
    <n v="188"/>
    <n v="212.44"/>
  </r>
  <r>
    <d v="2021-05-20T00:00:00"/>
    <x v="4"/>
    <x v="9"/>
    <x v="0"/>
    <x v="10"/>
    <n v="2"/>
    <x v="1"/>
    <n v="240"/>
    <n v="324"/>
  </r>
  <r>
    <d v="2021-05-23T00:00:00"/>
    <x v="4"/>
    <x v="19"/>
    <x v="0"/>
    <x v="17"/>
    <n v="11"/>
    <x v="0"/>
    <n v="990"/>
    <n v="1267.2"/>
  </r>
  <r>
    <d v="2021-05-30T00:00:00"/>
    <x v="4"/>
    <x v="24"/>
    <x v="0"/>
    <x v="12"/>
    <n v="13"/>
    <x v="0"/>
    <n v="1833"/>
    <n v="1942.98"/>
  </r>
  <r>
    <d v="2021-05-30T00:00:00"/>
    <x v="4"/>
    <x v="24"/>
    <x v="0"/>
    <x v="2"/>
    <n v="6"/>
    <x v="1"/>
    <n v="672"/>
    <n v="732.48"/>
  </r>
  <r>
    <d v="2021-06-03T00:00:00"/>
    <x v="5"/>
    <x v="2"/>
    <x v="0"/>
    <x v="32"/>
    <n v="10"/>
    <x v="1"/>
    <n v="1260"/>
    <n v="1625.3999999999999"/>
  </r>
  <r>
    <d v="2021-06-04T00:00:00"/>
    <x v="5"/>
    <x v="3"/>
    <x v="0"/>
    <x v="14"/>
    <n v="8"/>
    <x v="0"/>
    <n v="488"/>
    <n v="610"/>
  </r>
  <r>
    <d v="2021-06-04T00:00:00"/>
    <x v="5"/>
    <x v="3"/>
    <x v="0"/>
    <x v="14"/>
    <n v="12"/>
    <x v="1"/>
    <n v="732"/>
    <n v="915"/>
  </r>
  <r>
    <d v="2021-06-05T00:00:00"/>
    <x v="5"/>
    <x v="15"/>
    <x v="0"/>
    <x v="22"/>
    <n v="15"/>
    <x v="0"/>
    <n v="1815"/>
    <n v="2123.5499999999997"/>
  </r>
  <r>
    <d v="2021-06-05T00:00:00"/>
    <x v="5"/>
    <x v="15"/>
    <x v="0"/>
    <x v="4"/>
    <n v="10"/>
    <x v="0"/>
    <n v="50"/>
    <n v="67"/>
  </r>
  <r>
    <d v="2021-06-06T00:00:00"/>
    <x v="5"/>
    <x v="16"/>
    <x v="0"/>
    <x v="38"/>
    <n v="6"/>
    <x v="0"/>
    <n v="570"/>
    <n v="718.2"/>
  </r>
  <r>
    <d v="2021-06-08T00:00:00"/>
    <x v="5"/>
    <x v="21"/>
    <x v="0"/>
    <x v="33"/>
    <n v="11"/>
    <x v="0"/>
    <n v="407"/>
    <n v="459.91"/>
  </r>
  <r>
    <d v="2021-06-08T00:00:00"/>
    <x v="5"/>
    <x v="21"/>
    <x v="0"/>
    <x v="3"/>
    <n v="11"/>
    <x v="1"/>
    <n v="484"/>
    <n v="537.24"/>
  </r>
  <r>
    <d v="2021-06-09T00:00:00"/>
    <x v="5"/>
    <x v="4"/>
    <x v="0"/>
    <x v="16"/>
    <n v="7"/>
    <x v="0"/>
    <n v="686"/>
    <n v="727.16"/>
  </r>
  <r>
    <d v="2021-06-11T00:00:00"/>
    <x v="5"/>
    <x v="5"/>
    <x v="0"/>
    <x v="18"/>
    <n v="12"/>
    <x v="1"/>
    <n v="1068"/>
    <n v="1409.76"/>
  </r>
  <r>
    <d v="2021-06-12T00:00:00"/>
    <x v="5"/>
    <x v="6"/>
    <x v="0"/>
    <x v="41"/>
    <n v="6"/>
    <x v="0"/>
    <n v="828"/>
    <n v="1043.28"/>
  </r>
  <r>
    <d v="2021-06-14T00:00:00"/>
    <x v="5"/>
    <x v="29"/>
    <x v="0"/>
    <x v="7"/>
    <n v="10"/>
    <x v="1"/>
    <n v="70"/>
    <n v="83.3"/>
  </r>
  <r>
    <d v="2021-06-16T00:00:00"/>
    <x v="5"/>
    <x v="23"/>
    <x v="0"/>
    <x v="40"/>
    <n v="5"/>
    <x v="1"/>
    <n v="750"/>
    <n v="1050"/>
  </r>
  <r>
    <d v="2021-06-16T00:00:00"/>
    <x v="5"/>
    <x v="23"/>
    <x v="0"/>
    <x v="27"/>
    <n v="12"/>
    <x v="1"/>
    <n v="144"/>
    <n v="188.64"/>
  </r>
  <r>
    <d v="2021-06-16T00:00:00"/>
    <x v="5"/>
    <x v="23"/>
    <x v="0"/>
    <x v="34"/>
    <n v="11"/>
    <x v="1"/>
    <n v="407"/>
    <n v="468.04999999999995"/>
  </r>
  <r>
    <d v="2021-06-18T00:00:00"/>
    <x v="5"/>
    <x v="7"/>
    <x v="0"/>
    <x v="7"/>
    <n v="13"/>
    <x v="1"/>
    <n v="91"/>
    <n v="108.29"/>
  </r>
  <r>
    <d v="2021-06-19T00:00:00"/>
    <x v="5"/>
    <x v="8"/>
    <x v="0"/>
    <x v="41"/>
    <n v="5"/>
    <x v="0"/>
    <n v="690"/>
    <n v="869.4"/>
  </r>
  <r>
    <d v="2021-06-20T00:00:00"/>
    <x v="5"/>
    <x v="9"/>
    <x v="0"/>
    <x v="21"/>
    <n v="1"/>
    <x v="1"/>
    <n v="13"/>
    <n v="16.64"/>
  </r>
  <r>
    <d v="2021-06-23T00:00:00"/>
    <x v="5"/>
    <x v="19"/>
    <x v="0"/>
    <x v="21"/>
    <n v="4"/>
    <x v="0"/>
    <n v="52"/>
    <n v="66.56"/>
  </r>
  <r>
    <d v="2021-06-24T00:00:00"/>
    <x v="5"/>
    <x v="27"/>
    <x v="0"/>
    <x v="31"/>
    <n v="13"/>
    <x v="0"/>
    <n v="572"/>
    <n v="629.19999999999993"/>
  </r>
  <r>
    <d v="2021-06-26T00:00:00"/>
    <x v="5"/>
    <x v="12"/>
    <x v="0"/>
    <x v="37"/>
    <n v="7"/>
    <x v="0"/>
    <n v="42"/>
    <n v="55.019999999999996"/>
  </r>
  <r>
    <d v="2021-06-27T00:00:00"/>
    <x v="5"/>
    <x v="13"/>
    <x v="0"/>
    <x v="24"/>
    <n v="11"/>
    <x v="1"/>
    <n v="1463"/>
    <n v="1711.71"/>
  </r>
  <r>
    <d v="2021-06-28T00:00:00"/>
    <x v="5"/>
    <x v="14"/>
    <x v="0"/>
    <x v="32"/>
    <n v="2"/>
    <x v="1"/>
    <n v="252"/>
    <n v="325.08"/>
  </r>
  <r>
    <d v="2021-06-28T00:00:00"/>
    <x v="5"/>
    <x v="14"/>
    <x v="0"/>
    <x v="4"/>
    <n v="7"/>
    <x v="0"/>
    <n v="35"/>
    <n v="46.9"/>
  </r>
  <r>
    <d v="2021-06-29T00:00:00"/>
    <x v="5"/>
    <x v="28"/>
    <x v="0"/>
    <x v="9"/>
    <n v="4"/>
    <x v="0"/>
    <n v="448"/>
    <n v="586.88"/>
  </r>
  <r>
    <d v="2021-07-01T00:00:00"/>
    <x v="6"/>
    <x v="0"/>
    <x v="0"/>
    <x v="24"/>
    <n v="11"/>
    <x v="1"/>
    <n v="1463"/>
    <n v="1711.71"/>
  </r>
  <r>
    <d v="2021-07-02T00:00:00"/>
    <x v="6"/>
    <x v="1"/>
    <x v="0"/>
    <x v="20"/>
    <n v="11"/>
    <x v="1"/>
    <n v="1628"/>
    <n v="1807.08"/>
  </r>
  <r>
    <d v="2021-07-03T00:00:00"/>
    <x v="6"/>
    <x v="2"/>
    <x v="0"/>
    <x v="38"/>
    <n v="9"/>
    <x v="1"/>
    <n v="855"/>
    <n v="1077.3"/>
  </r>
  <r>
    <d v="2021-07-03T00:00:00"/>
    <x v="6"/>
    <x v="2"/>
    <x v="0"/>
    <x v="6"/>
    <n v="8"/>
    <x v="1"/>
    <n v="568"/>
    <n v="647.52"/>
  </r>
  <r>
    <d v="2021-07-05T00:00:00"/>
    <x v="6"/>
    <x v="15"/>
    <x v="0"/>
    <x v="29"/>
    <n v="8"/>
    <x v="0"/>
    <n v="840"/>
    <n v="1142.4000000000001"/>
  </r>
  <r>
    <d v="2021-07-06T00:00:00"/>
    <x v="6"/>
    <x v="16"/>
    <x v="0"/>
    <x v="41"/>
    <n v="15"/>
    <x v="1"/>
    <n v="2070"/>
    <n v="2608.1999999999998"/>
  </r>
  <r>
    <d v="2021-07-08T00:00:00"/>
    <x v="6"/>
    <x v="21"/>
    <x v="0"/>
    <x v="3"/>
    <n v="10"/>
    <x v="0"/>
    <n v="440"/>
    <n v="488.40000000000003"/>
  </r>
  <r>
    <d v="2021-07-10T00:00:00"/>
    <x v="6"/>
    <x v="26"/>
    <x v="0"/>
    <x v="13"/>
    <n v="6"/>
    <x v="1"/>
    <n v="330"/>
    <n v="349.79999999999995"/>
  </r>
  <r>
    <d v="2021-07-11T00:00:00"/>
    <x v="6"/>
    <x v="5"/>
    <x v="0"/>
    <x v="37"/>
    <n v="4"/>
    <x v="0"/>
    <n v="24"/>
    <n v="31.439999999999998"/>
  </r>
  <r>
    <d v="2021-07-13T00:00:00"/>
    <x v="6"/>
    <x v="22"/>
    <x v="0"/>
    <x v="40"/>
    <n v="1"/>
    <x v="1"/>
    <n v="150"/>
    <n v="210"/>
  </r>
  <r>
    <d v="2021-07-16T00:00:00"/>
    <x v="6"/>
    <x v="23"/>
    <x v="0"/>
    <x v="12"/>
    <n v="8"/>
    <x v="1"/>
    <n v="1128"/>
    <n v="1195.68"/>
  </r>
  <r>
    <d v="2021-07-18T00:00:00"/>
    <x v="6"/>
    <x v="7"/>
    <x v="0"/>
    <x v="26"/>
    <n v="14"/>
    <x v="0"/>
    <n v="672"/>
    <n v="799.68000000000006"/>
  </r>
  <r>
    <d v="2021-07-20T00:00:00"/>
    <x v="6"/>
    <x v="9"/>
    <x v="0"/>
    <x v="1"/>
    <n v="11"/>
    <x v="0"/>
    <n v="792"/>
    <n v="879.12"/>
  </r>
  <r>
    <d v="2021-07-20T00:00:00"/>
    <x v="6"/>
    <x v="9"/>
    <x v="0"/>
    <x v="23"/>
    <n v="5"/>
    <x v="0"/>
    <n v="335"/>
    <n v="415.4"/>
  </r>
  <r>
    <d v="2021-07-21T00:00:00"/>
    <x v="6"/>
    <x v="10"/>
    <x v="0"/>
    <x v="19"/>
    <n v="15"/>
    <x v="0"/>
    <n v="705"/>
    <n v="796.65"/>
  </r>
  <r>
    <d v="2021-07-22T00:00:00"/>
    <x v="6"/>
    <x v="18"/>
    <x v="0"/>
    <x v="42"/>
    <n v="3"/>
    <x v="1"/>
    <n v="54"/>
    <n v="73.98"/>
  </r>
  <r>
    <d v="2021-07-22T00:00:00"/>
    <x v="6"/>
    <x v="18"/>
    <x v="0"/>
    <x v="0"/>
    <n v="14"/>
    <x v="1"/>
    <n v="2016"/>
    <n v="2197.44"/>
  </r>
  <r>
    <d v="2021-07-23T00:00:00"/>
    <x v="6"/>
    <x v="19"/>
    <x v="0"/>
    <x v="43"/>
    <n v="7"/>
    <x v="0"/>
    <n v="630"/>
    <n v="674.1"/>
  </r>
  <r>
    <d v="2021-07-23T00:00:00"/>
    <x v="6"/>
    <x v="19"/>
    <x v="0"/>
    <x v="8"/>
    <n v="8"/>
    <x v="0"/>
    <n v="536"/>
    <n v="686.08"/>
  </r>
  <r>
    <d v="2021-07-24T00:00:00"/>
    <x v="6"/>
    <x v="27"/>
    <x v="0"/>
    <x v="37"/>
    <n v="4"/>
    <x v="1"/>
    <n v="24"/>
    <n v="31.439999999999998"/>
  </r>
  <r>
    <d v="2021-07-29T00:00:00"/>
    <x v="6"/>
    <x v="28"/>
    <x v="0"/>
    <x v="11"/>
    <n v="15"/>
    <x v="1"/>
    <n v="1140"/>
    <n v="1231.2"/>
  </r>
  <r>
    <d v="2021-08-01T00:00:00"/>
    <x v="7"/>
    <x v="0"/>
    <x v="0"/>
    <x v="16"/>
    <n v="11"/>
    <x v="1"/>
    <n v="1078"/>
    <n v="1142.6799999999998"/>
  </r>
  <r>
    <d v="2021-08-02T00:00:00"/>
    <x v="7"/>
    <x v="1"/>
    <x v="0"/>
    <x v="12"/>
    <n v="3"/>
    <x v="0"/>
    <n v="423"/>
    <n v="448.38"/>
  </r>
  <r>
    <d v="2021-08-03T00:00:00"/>
    <x v="7"/>
    <x v="2"/>
    <x v="0"/>
    <x v="22"/>
    <n v="13"/>
    <x v="0"/>
    <n v="1573"/>
    <n v="1840.4099999999999"/>
  </r>
  <r>
    <d v="2021-08-03T00:00:00"/>
    <x v="7"/>
    <x v="2"/>
    <x v="0"/>
    <x v="13"/>
    <n v="12"/>
    <x v="0"/>
    <n v="660"/>
    <n v="699.59999999999991"/>
  </r>
  <r>
    <d v="2021-08-05T00:00:00"/>
    <x v="7"/>
    <x v="15"/>
    <x v="0"/>
    <x v="33"/>
    <n v="14"/>
    <x v="1"/>
    <n v="518"/>
    <n v="585.34"/>
  </r>
  <r>
    <d v="2021-08-06T00:00:00"/>
    <x v="7"/>
    <x v="16"/>
    <x v="0"/>
    <x v="8"/>
    <n v="1"/>
    <x v="1"/>
    <n v="67"/>
    <n v="85.76"/>
  </r>
  <r>
    <d v="2021-08-10T00:00:00"/>
    <x v="7"/>
    <x v="26"/>
    <x v="0"/>
    <x v="24"/>
    <n v="4"/>
    <x v="1"/>
    <n v="532"/>
    <n v="622.44000000000005"/>
  </r>
  <r>
    <d v="2021-08-10T00:00:00"/>
    <x v="7"/>
    <x v="26"/>
    <x v="0"/>
    <x v="11"/>
    <n v="10"/>
    <x v="1"/>
    <n v="760"/>
    <n v="820.8"/>
  </r>
  <r>
    <d v="2021-08-10T00:00:00"/>
    <x v="7"/>
    <x v="26"/>
    <x v="0"/>
    <x v="15"/>
    <n v="6"/>
    <x v="1"/>
    <n v="450"/>
    <n v="513"/>
  </r>
  <r>
    <d v="2021-08-11T00:00:00"/>
    <x v="7"/>
    <x v="5"/>
    <x v="0"/>
    <x v="12"/>
    <n v="4"/>
    <x v="0"/>
    <n v="564"/>
    <n v="597.84"/>
  </r>
  <r>
    <d v="2021-08-13T00:00:00"/>
    <x v="7"/>
    <x v="22"/>
    <x v="0"/>
    <x v="31"/>
    <n v="13"/>
    <x v="0"/>
    <n v="572"/>
    <n v="629.19999999999993"/>
  </r>
  <r>
    <d v="2021-08-13T00:00:00"/>
    <x v="7"/>
    <x v="22"/>
    <x v="0"/>
    <x v="26"/>
    <n v="9"/>
    <x v="0"/>
    <n v="432"/>
    <n v="514.08000000000004"/>
  </r>
  <r>
    <d v="2021-08-16T00:00:00"/>
    <x v="7"/>
    <x v="23"/>
    <x v="0"/>
    <x v="6"/>
    <n v="3"/>
    <x v="0"/>
    <n v="213"/>
    <n v="242.82"/>
  </r>
  <r>
    <d v="2021-08-18T00:00:00"/>
    <x v="7"/>
    <x v="7"/>
    <x v="0"/>
    <x v="7"/>
    <n v="6"/>
    <x v="0"/>
    <n v="42"/>
    <n v="49.980000000000004"/>
  </r>
  <r>
    <d v="2021-08-20T00:00:00"/>
    <x v="7"/>
    <x v="9"/>
    <x v="0"/>
    <x v="14"/>
    <n v="15"/>
    <x v="1"/>
    <n v="915"/>
    <n v="1143.75"/>
  </r>
  <r>
    <d v="2021-08-20T00:00:00"/>
    <x v="7"/>
    <x v="9"/>
    <x v="0"/>
    <x v="5"/>
    <n v="9"/>
    <x v="0"/>
    <n v="837"/>
    <n v="937.43999999999994"/>
  </r>
  <r>
    <d v="2021-08-20T00:00:00"/>
    <x v="7"/>
    <x v="9"/>
    <x v="0"/>
    <x v="33"/>
    <n v="13"/>
    <x v="0"/>
    <n v="481"/>
    <n v="543.53"/>
  </r>
  <r>
    <d v="2021-08-26T00:00:00"/>
    <x v="7"/>
    <x v="12"/>
    <x v="0"/>
    <x v="34"/>
    <n v="4"/>
    <x v="0"/>
    <n v="148"/>
    <n v="170.2"/>
  </r>
  <r>
    <d v="2021-08-29T00:00:00"/>
    <x v="7"/>
    <x v="28"/>
    <x v="0"/>
    <x v="13"/>
    <n v="12"/>
    <x v="0"/>
    <n v="660"/>
    <n v="699.59999999999991"/>
  </r>
  <r>
    <d v="2021-08-30T00:00:00"/>
    <x v="7"/>
    <x v="24"/>
    <x v="0"/>
    <x v="2"/>
    <n v="13"/>
    <x v="0"/>
    <n v="1456"/>
    <n v="1587.04"/>
  </r>
  <r>
    <d v="2021-08-31T00:00:00"/>
    <x v="7"/>
    <x v="25"/>
    <x v="0"/>
    <x v="16"/>
    <n v="2"/>
    <x v="0"/>
    <n v="196"/>
    <n v="207.76"/>
  </r>
  <r>
    <d v="2021-08-31T00:00:00"/>
    <x v="7"/>
    <x v="25"/>
    <x v="0"/>
    <x v="4"/>
    <n v="11"/>
    <x v="0"/>
    <n v="55"/>
    <n v="73.7"/>
  </r>
  <r>
    <d v="2021-09-01T00:00:00"/>
    <x v="8"/>
    <x v="0"/>
    <x v="0"/>
    <x v="0"/>
    <n v="1"/>
    <x v="1"/>
    <n v="144"/>
    <n v="156.96"/>
  </r>
  <r>
    <d v="2021-09-01T00:00:00"/>
    <x v="8"/>
    <x v="0"/>
    <x v="0"/>
    <x v="6"/>
    <n v="14"/>
    <x v="0"/>
    <n v="994"/>
    <n v="1133.1599999999999"/>
  </r>
  <r>
    <d v="2021-09-03T00:00:00"/>
    <x v="8"/>
    <x v="2"/>
    <x v="0"/>
    <x v="41"/>
    <n v="8"/>
    <x v="0"/>
    <n v="1104"/>
    <n v="1391.04"/>
  </r>
  <r>
    <d v="2021-09-04T00:00:00"/>
    <x v="8"/>
    <x v="3"/>
    <x v="0"/>
    <x v="33"/>
    <n v="7"/>
    <x v="0"/>
    <n v="259"/>
    <n v="292.67"/>
  </r>
  <r>
    <d v="2021-09-04T00:00:00"/>
    <x v="8"/>
    <x v="3"/>
    <x v="0"/>
    <x v="12"/>
    <n v="15"/>
    <x v="0"/>
    <n v="2115"/>
    <n v="2241.9"/>
  </r>
  <r>
    <d v="2021-09-05T00:00:00"/>
    <x v="8"/>
    <x v="15"/>
    <x v="0"/>
    <x v="18"/>
    <n v="1"/>
    <x v="1"/>
    <n v="89"/>
    <n v="117.48"/>
  </r>
  <r>
    <d v="2021-09-07T00:00:00"/>
    <x v="8"/>
    <x v="20"/>
    <x v="0"/>
    <x v="40"/>
    <n v="5"/>
    <x v="0"/>
    <n v="750"/>
    <n v="1050"/>
  </r>
  <r>
    <d v="2021-09-09T00:00:00"/>
    <x v="8"/>
    <x v="4"/>
    <x v="0"/>
    <x v="11"/>
    <n v="4"/>
    <x v="0"/>
    <n v="304"/>
    <n v="328.32"/>
  </r>
  <r>
    <d v="2021-09-10T00:00:00"/>
    <x v="8"/>
    <x v="26"/>
    <x v="0"/>
    <x v="28"/>
    <n v="6"/>
    <x v="0"/>
    <n v="888"/>
    <n v="1207.68"/>
  </r>
  <r>
    <d v="2021-09-10T00:00:00"/>
    <x v="8"/>
    <x v="26"/>
    <x v="0"/>
    <x v="16"/>
    <n v="9"/>
    <x v="0"/>
    <n v="882"/>
    <n v="934.92"/>
  </r>
  <r>
    <d v="2021-09-10T00:00:00"/>
    <x v="8"/>
    <x v="26"/>
    <x v="0"/>
    <x v="42"/>
    <n v="2"/>
    <x v="0"/>
    <n v="36"/>
    <n v="49.32"/>
  </r>
  <r>
    <d v="2021-09-11T00:00:00"/>
    <x v="8"/>
    <x v="5"/>
    <x v="0"/>
    <x v="16"/>
    <n v="6"/>
    <x v="0"/>
    <n v="588"/>
    <n v="623.28"/>
  </r>
  <r>
    <d v="2021-09-13T00:00:00"/>
    <x v="8"/>
    <x v="22"/>
    <x v="0"/>
    <x v="41"/>
    <n v="7"/>
    <x v="1"/>
    <n v="966"/>
    <n v="1217.1599999999999"/>
  </r>
  <r>
    <d v="2021-09-15T00:00:00"/>
    <x v="8"/>
    <x v="17"/>
    <x v="0"/>
    <x v="10"/>
    <n v="6"/>
    <x v="0"/>
    <n v="720"/>
    <n v="972"/>
  </r>
  <r>
    <d v="2021-09-15T00:00:00"/>
    <x v="8"/>
    <x v="17"/>
    <x v="0"/>
    <x v="10"/>
    <n v="14"/>
    <x v="0"/>
    <n v="1680"/>
    <n v="2268"/>
  </r>
  <r>
    <d v="2021-09-21T00:00:00"/>
    <x v="8"/>
    <x v="10"/>
    <x v="0"/>
    <x v="14"/>
    <n v="7"/>
    <x v="1"/>
    <n v="427"/>
    <n v="533.75"/>
  </r>
  <r>
    <d v="2021-09-22T00:00:00"/>
    <x v="8"/>
    <x v="18"/>
    <x v="0"/>
    <x v="17"/>
    <n v="2"/>
    <x v="1"/>
    <n v="180"/>
    <n v="230.4"/>
  </r>
  <r>
    <d v="2021-09-22T00:00:00"/>
    <x v="8"/>
    <x v="18"/>
    <x v="0"/>
    <x v="29"/>
    <n v="4"/>
    <x v="1"/>
    <n v="420"/>
    <n v="571.20000000000005"/>
  </r>
  <r>
    <d v="2021-09-23T00:00:00"/>
    <x v="8"/>
    <x v="19"/>
    <x v="0"/>
    <x v="30"/>
    <n v="12"/>
    <x v="1"/>
    <n v="444"/>
    <n v="590.52"/>
  </r>
  <r>
    <d v="2021-09-23T00:00:00"/>
    <x v="8"/>
    <x v="19"/>
    <x v="0"/>
    <x v="32"/>
    <n v="7"/>
    <x v="0"/>
    <n v="882"/>
    <n v="1137.78"/>
  </r>
  <r>
    <d v="2021-09-27T00:00:00"/>
    <x v="8"/>
    <x v="13"/>
    <x v="0"/>
    <x v="13"/>
    <n v="1"/>
    <x v="1"/>
    <n v="55"/>
    <n v="58.3"/>
  </r>
  <r>
    <d v="2021-09-30T00:00:00"/>
    <x v="8"/>
    <x v="24"/>
    <x v="0"/>
    <x v="9"/>
    <n v="9"/>
    <x v="0"/>
    <n v="1008"/>
    <n v="1320.48"/>
  </r>
  <r>
    <d v="2021-09-30T00:00:00"/>
    <x v="8"/>
    <x v="24"/>
    <x v="0"/>
    <x v="15"/>
    <n v="5"/>
    <x v="0"/>
    <n v="375"/>
    <n v="427.5"/>
  </r>
  <r>
    <d v="2021-10-01T00:00:00"/>
    <x v="9"/>
    <x v="0"/>
    <x v="0"/>
    <x v="28"/>
    <n v="14"/>
    <x v="1"/>
    <n v="2072"/>
    <n v="2817.92"/>
  </r>
  <r>
    <d v="2021-10-02T00:00:00"/>
    <x v="9"/>
    <x v="1"/>
    <x v="0"/>
    <x v="9"/>
    <n v="15"/>
    <x v="0"/>
    <n v="1680"/>
    <n v="2200.8000000000002"/>
  </r>
  <r>
    <d v="2021-10-03T00:00:00"/>
    <x v="9"/>
    <x v="2"/>
    <x v="0"/>
    <x v="40"/>
    <n v="9"/>
    <x v="0"/>
    <n v="1350"/>
    <n v="1890"/>
  </r>
  <r>
    <d v="2021-10-06T00:00:00"/>
    <x v="9"/>
    <x v="16"/>
    <x v="0"/>
    <x v="4"/>
    <n v="1"/>
    <x v="0"/>
    <n v="5"/>
    <n v="6.7"/>
  </r>
  <r>
    <d v="2021-10-06T00:00:00"/>
    <x v="9"/>
    <x v="16"/>
    <x v="0"/>
    <x v="43"/>
    <n v="12"/>
    <x v="0"/>
    <n v="1080"/>
    <n v="1155.5999999999999"/>
  </r>
  <r>
    <d v="2021-10-07T00:00:00"/>
    <x v="9"/>
    <x v="20"/>
    <x v="0"/>
    <x v="42"/>
    <n v="6"/>
    <x v="1"/>
    <n v="108"/>
    <n v="147.96"/>
  </r>
  <r>
    <d v="2021-10-09T00:00:00"/>
    <x v="9"/>
    <x v="4"/>
    <x v="0"/>
    <x v="1"/>
    <n v="5"/>
    <x v="1"/>
    <n v="360"/>
    <n v="399.6"/>
  </r>
  <r>
    <d v="2021-10-09T00:00:00"/>
    <x v="9"/>
    <x v="4"/>
    <x v="0"/>
    <x v="18"/>
    <n v="11"/>
    <x v="1"/>
    <n v="979"/>
    <n v="1292.28"/>
  </r>
  <r>
    <d v="2021-10-10T00:00:00"/>
    <x v="9"/>
    <x v="26"/>
    <x v="0"/>
    <x v="4"/>
    <n v="14"/>
    <x v="1"/>
    <n v="70"/>
    <n v="93.8"/>
  </r>
  <r>
    <d v="2021-10-11T00:00:00"/>
    <x v="9"/>
    <x v="5"/>
    <x v="0"/>
    <x v="31"/>
    <n v="15"/>
    <x v="1"/>
    <n v="660"/>
    <n v="726"/>
  </r>
  <r>
    <d v="2021-10-12T00:00:00"/>
    <x v="9"/>
    <x v="6"/>
    <x v="0"/>
    <x v="26"/>
    <n v="8"/>
    <x v="0"/>
    <n v="384"/>
    <n v="456.96000000000004"/>
  </r>
  <r>
    <d v="2021-10-17T00:00:00"/>
    <x v="9"/>
    <x v="30"/>
    <x v="0"/>
    <x v="16"/>
    <n v="13"/>
    <x v="0"/>
    <n v="1274"/>
    <n v="1350.44"/>
  </r>
  <r>
    <d v="2021-10-18T00:00:00"/>
    <x v="9"/>
    <x v="7"/>
    <x v="0"/>
    <x v="7"/>
    <n v="6"/>
    <x v="1"/>
    <n v="42"/>
    <n v="49.980000000000004"/>
  </r>
  <r>
    <d v="2021-10-18T00:00:00"/>
    <x v="9"/>
    <x v="7"/>
    <x v="0"/>
    <x v="32"/>
    <n v="13"/>
    <x v="1"/>
    <n v="1638"/>
    <n v="2113.02"/>
  </r>
  <r>
    <d v="2021-10-22T00:00:00"/>
    <x v="9"/>
    <x v="18"/>
    <x v="0"/>
    <x v="31"/>
    <n v="7"/>
    <x v="1"/>
    <n v="308"/>
    <n v="338.8"/>
  </r>
  <r>
    <d v="2021-10-22T00:00:00"/>
    <x v="9"/>
    <x v="18"/>
    <x v="0"/>
    <x v="0"/>
    <n v="13"/>
    <x v="1"/>
    <n v="1872"/>
    <n v="2040.48"/>
  </r>
  <r>
    <d v="2021-10-22T00:00:00"/>
    <x v="9"/>
    <x v="18"/>
    <x v="0"/>
    <x v="37"/>
    <n v="1"/>
    <x v="1"/>
    <n v="6"/>
    <n v="7.8599999999999994"/>
  </r>
  <r>
    <d v="2021-10-24T00:00:00"/>
    <x v="9"/>
    <x v="27"/>
    <x v="0"/>
    <x v="31"/>
    <n v="3"/>
    <x v="1"/>
    <n v="132"/>
    <n v="145.19999999999999"/>
  </r>
  <r>
    <d v="2021-10-25T00:00:00"/>
    <x v="9"/>
    <x v="11"/>
    <x v="0"/>
    <x v="11"/>
    <n v="9"/>
    <x v="1"/>
    <n v="684"/>
    <n v="738.72"/>
  </r>
  <r>
    <d v="2021-10-26T00:00:00"/>
    <x v="9"/>
    <x v="12"/>
    <x v="0"/>
    <x v="3"/>
    <n v="6"/>
    <x v="1"/>
    <n v="264"/>
    <n v="293.04000000000002"/>
  </r>
  <r>
    <d v="2021-10-28T00:00:00"/>
    <x v="9"/>
    <x v="14"/>
    <x v="0"/>
    <x v="25"/>
    <n v="1"/>
    <x v="1"/>
    <n v="83"/>
    <n v="94.62"/>
  </r>
  <r>
    <d v="2021-10-29T00:00:00"/>
    <x v="9"/>
    <x v="28"/>
    <x v="0"/>
    <x v="1"/>
    <n v="14"/>
    <x v="0"/>
    <n v="1008"/>
    <n v="1118.8800000000001"/>
  </r>
  <r>
    <d v="2021-10-31T00:00:00"/>
    <x v="9"/>
    <x v="25"/>
    <x v="0"/>
    <x v="32"/>
    <n v="6"/>
    <x v="1"/>
    <n v="756"/>
    <n v="975.24"/>
  </r>
  <r>
    <d v="2021-11-03T00:00:00"/>
    <x v="10"/>
    <x v="2"/>
    <x v="0"/>
    <x v="2"/>
    <n v="12"/>
    <x v="1"/>
    <n v="1344"/>
    <n v="1464.96"/>
  </r>
  <r>
    <d v="2021-11-06T00:00:00"/>
    <x v="10"/>
    <x v="16"/>
    <x v="0"/>
    <x v="43"/>
    <n v="10"/>
    <x v="0"/>
    <n v="900"/>
    <n v="963"/>
  </r>
  <r>
    <d v="2021-11-08T00:00:00"/>
    <x v="10"/>
    <x v="21"/>
    <x v="0"/>
    <x v="36"/>
    <n v="15"/>
    <x v="0"/>
    <n v="645"/>
    <n v="715.95"/>
  </r>
  <r>
    <d v="2021-11-10T00:00:00"/>
    <x v="10"/>
    <x v="26"/>
    <x v="0"/>
    <x v="10"/>
    <n v="6"/>
    <x v="1"/>
    <n v="720"/>
    <n v="972"/>
  </r>
  <r>
    <d v="2021-11-11T00:00:00"/>
    <x v="10"/>
    <x v="5"/>
    <x v="0"/>
    <x v="17"/>
    <n v="12"/>
    <x v="0"/>
    <n v="1080"/>
    <n v="1382.4"/>
  </r>
  <r>
    <d v="2021-11-12T00:00:00"/>
    <x v="10"/>
    <x v="6"/>
    <x v="0"/>
    <x v="20"/>
    <n v="3"/>
    <x v="1"/>
    <n v="444"/>
    <n v="492.84000000000003"/>
  </r>
  <r>
    <d v="2021-11-20T00:00:00"/>
    <x v="10"/>
    <x v="9"/>
    <x v="0"/>
    <x v="13"/>
    <n v="14"/>
    <x v="0"/>
    <n v="770"/>
    <n v="816.19999999999993"/>
  </r>
  <r>
    <d v="2021-11-20T00:00:00"/>
    <x v="10"/>
    <x v="9"/>
    <x v="0"/>
    <x v="25"/>
    <n v="11"/>
    <x v="1"/>
    <n v="913"/>
    <n v="1040.8200000000002"/>
  </r>
  <r>
    <d v="2021-11-21T00:00:00"/>
    <x v="10"/>
    <x v="10"/>
    <x v="0"/>
    <x v="9"/>
    <n v="1"/>
    <x v="0"/>
    <n v="112"/>
    <n v="146.72"/>
  </r>
  <r>
    <d v="2021-11-21T00:00:00"/>
    <x v="10"/>
    <x v="10"/>
    <x v="0"/>
    <x v="15"/>
    <n v="1"/>
    <x v="1"/>
    <n v="75"/>
    <n v="85.5"/>
  </r>
  <r>
    <d v="2021-11-27T00:00:00"/>
    <x v="10"/>
    <x v="13"/>
    <x v="0"/>
    <x v="35"/>
    <n v="8"/>
    <x v="0"/>
    <n v="584"/>
    <n v="753.36"/>
  </r>
  <r>
    <d v="2021-11-28T00:00:00"/>
    <x v="10"/>
    <x v="14"/>
    <x v="0"/>
    <x v="17"/>
    <n v="2"/>
    <x v="1"/>
    <n v="180"/>
    <n v="230.4"/>
  </r>
  <r>
    <d v="2021-11-30T00:00:00"/>
    <x v="10"/>
    <x v="24"/>
    <x v="0"/>
    <x v="34"/>
    <n v="15"/>
    <x v="0"/>
    <n v="555"/>
    <n v="638.25"/>
  </r>
  <r>
    <d v="2021-12-02T00:00:00"/>
    <x v="11"/>
    <x v="1"/>
    <x v="0"/>
    <x v="21"/>
    <n v="10"/>
    <x v="1"/>
    <n v="130"/>
    <n v="166.4"/>
  </r>
  <r>
    <d v="2021-12-03T00:00:00"/>
    <x v="11"/>
    <x v="2"/>
    <x v="0"/>
    <x v="13"/>
    <n v="2"/>
    <x v="1"/>
    <n v="110"/>
    <n v="116.6"/>
  </r>
  <r>
    <d v="2021-12-03T00:00:00"/>
    <x v="11"/>
    <x v="2"/>
    <x v="0"/>
    <x v="40"/>
    <n v="8"/>
    <x v="0"/>
    <n v="1200"/>
    <n v="1680"/>
  </r>
  <r>
    <d v="2021-12-05T00:00:00"/>
    <x v="11"/>
    <x v="15"/>
    <x v="0"/>
    <x v="3"/>
    <n v="15"/>
    <x v="1"/>
    <n v="660"/>
    <n v="732.6"/>
  </r>
  <r>
    <d v="2021-12-05T00:00:00"/>
    <x v="11"/>
    <x v="15"/>
    <x v="0"/>
    <x v="20"/>
    <n v="1"/>
    <x v="0"/>
    <n v="148"/>
    <n v="164.28"/>
  </r>
  <r>
    <d v="2021-12-07T00:00:00"/>
    <x v="11"/>
    <x v="20"/>
    <x v="0"/>
    <x v="2"/>
    <n v="8"/>
    <x v="0"/>
    <n v="896"/>
    <n v="976.64"/>
  </r>
  <r>
    <d v="2021-12-08T00:00:00"/>
    <x v="11"/>
    <x v="21"/>
    <x v="0"/>
    <x v="11"/>
    <n v="14"/>
    <x v="0"/>
    <n v="1064"/>
    <n v="1149.1199999999999"/>
  </r>
  <r>
    <d v="2021-12-14T00:00:00"/>
    <x v="11"/>
    <x v="29"/>
    <x v="0"/>
    <x v="10"/>
    <n v="4"/>
    <x v="0"/>
    <n v="480"/>
    <n v="648"/>
  </r>
  <r>
    <d v="2021-12-18T00:00:00"/>
    <x v="11"/>
    <x v="7"/>
    <x v="0"/>
    <x v="6"/>
    <n v="2"/>
    <x v="1"/>
    <n v="142"/>
    <n v="161.88"/>
  </r>
  <r>
    <d v="2021-12-18T00:00:00"/>
    <x v="11"/>
    <x v="7"/>
    <x v="0"/>
    <x v="22"/>
    <n v="8"/>
    <x v="1"/>
    <n v="968"/>
    <n v="1132.56"/>
  </r>
  <r>
    <d v="2021-12-19T00:00:00"/>
    <x v="11"/>
    <x v="8"/>
    <x v="0"/>
    <x v="12"/>
    <n v="12"/>
    <x v="0"/>
    <n v="1692"/>
    <n v="1793.52"/>
  </r>
  <r>
    <d v="2021-12-19T00:00:00"/>
    <x v="11"/>
    <x v="8"/>
    <x v="0"/>
    <x v="19"/>
    <n v="3"/>
    <x v="0"/>
    <n v="141"/>
    <n v="159.32999999999998"/>
  </r>
  <r>
    <d v="2021-12-19T00:00:00"/>
    <x v="11"/>
    <x v="8"/>
    <x v="0"/>
    <x v="31"/>
    <n v="10"/>
    <x v="0"/>
    <n v="440"/>
    <n v="484"/>
  </r>
  <r>
    <d v="2021-12-20T00:00:00"/>
    <x v="11"/>
    <x v="9"/>
    <x v="0"/>
    <x v="35"/>
    <n v="14"/>
    <x v="0"/>
    <n v="1022"/>
    <n v="1318.38"/>
  </r>
  <r>
    <d v="2021-12-21T00:00:00"/>
    <x v="11"/>
    <x v="10"/>
    <x v="0"/>
    <x v="42"/>
    <n v="10"/>
    <x v="1"/>
    <n v="180"/>
    <n v="246.6"/>
  </r>
  <r>
    <d v="2021-12-24T00:00:00"/>
    <x v="11"/>
    <x v="27"/>
    <x v="0"/>
    <x v="10"/>
    <n v="8"/>
    <x v="1"/>
    <n v="960"/>
    <n v="1296"/>
  </r>
  <r>
    <d v="2021-12-24T00:00:00"/>
    <x v="11"/>
    <x v="27"/>
    <x v="0"/>
    <x v="43"/>
    <n v="8"/>
    <x v="0"/>
    <n v="720"/>
    <n v="770.4"/>
  </r>
  <r>
    <d v="2021-12-26T00:00:00"/>
    <x v="11"/>
    <x v="12"/>
    <x v="0"/>
    <x v="41"/>
    <n v="14"/>
    <x v="1"/>
    <n v="1932"/>
    <n v="2434.3199999999997"/>
  </r>
  <r>
    <d v="2021-12-27T00:00:00"/>
    <x v="11"/>
    <x v="13"/>
    <x v="0"/>
    <x v="19"/>
    <n v="14"/>
    <x v="1"/>
    <n v="658"/>
    <n v="743.54"/>
  </r>
  <r>
    <d v="2021-12-28T00:00:00"/>
    <x v="11"/>
    <x v="14"/>
    <x v="0"/>
    <x v="19"/>
    <n v="6"/>
    <x v="1"/>
    <n v="282"/>
    <n v="318.65999999999997"/>
  </r>
  <r>
    <d v="2021-12-30T00:00:00"/>
    <x v="11"/>
    <x v="24"/>
    <x v="0"/>
    <x v="20"/>
    <n v="13"/>
    <x v="0"/>
    <n v="1924"/>
    <n v="2135.64"/>
  </r>
  <r>
    <d v="2022-01-01T00:00:00"/>
    <x v="0"/>
    <x v="0"/>
    <x v="1"/>
    <x v="22"/>
    <n v="1"/>
    <x v="1"/>
    <n v="121"/>
    <n v="141.57"/>
  </r>
  <r>
    <d v="2022-01-02T00:00:00"/>
    <x v="0"/>
    <x v="1"/>
    <x v="1"/>
    <x v="20"/>
    <n v="7"/>
    <x v="1"/>
    <n v="1036"/>
    <n v="1149.96"/>
  </r>
  <r>
    <d v="2022-01-02T00:00:00"/>
    <x v="0"/>
    <x v="1"/>
    <x v="1"/>
    <x v="27"/>
    <n v="2"/>
    <x v="1"/>
    <n v="24"/>
    <n v="31.439999999999998"/>
  </r>
  <r>
    <d v="2022-01-02T00:00:00"/>
    <x v="0"/>
    <x v="1"/>
    <x v="1"/>
    <x v="38"/>
    <n v="1"/>
    <x v="1"/>
    <n v="95"/>
    <n v="119.7"/>
  </r>
  <r>
    <d v="2022-01-03T00:00:00"/>
    <x v="0"/>
    <x v="2"/>
    <x v="1"/>
    <x v="23"/>
    <n v="9"/>
    <x v="1"/>
    <n v="603"/>
    <n v="747.72"/>
  </r>
  <r>
    <d v="2022-01-04T00:00:00"/>
    <x v="0"/>
    <x v="3"/>
    <x v="1"/>
    <x v="35"/>
    <n v="8"/>
    <x v="0"/>
    <n v="584"/>
    <n v="753.36"/>
  </r>
  <r>
    <d v="2022-01-04T00:00:00"/>
    <x v="0"/>
    <x v="3"/>
    <x v="1"/>
    <x v="19"/>
    <n v="1"/>
    <x v="0"/>
    <n v="47"/>
    <n v="53.11"/>
  </r>
  <r>
    <d v="2022-01-09T00:00:00"/>
    <x v="0"/>
    <x v="4"/>
    <x v="1"/>
    <x v="18"/>
    <n v="12"/>
    <x v="0"/>
    <n v="1068"/>
    <n v="1409.76"/>
  </r>
  <r>
    <d v="2022-01-10T00:00:00"/>
    <x v="0"/>
    <x v="26"/>
    <x v="1"/>
    <x v="13"/>
    <n v="14"/>
    <x v="0"/>
    <n v="770"/>
    <n v="816.19999999999993"/>
  </r>
  <r>
    <d v="2022-01-11T00:00:00"/>
    <x v="0"/>
    <x v="5"/>
    <x v="1"/>
    <x v="18"/>
    <n v="2"/>
    <x v="0"/>
    <n v="178"/>
    <n v="234.96"/>
  </r>
  <r>
    <d v="2022-01-13T00:00:00"/>
    <x v="0"/>
    <x v="22"/>
    <x v="1"/>
    <x v="40"/>
    <n v="6"/>
    <x v="0"/>
    <n v="900"/>
    <n v="1260"/>
  </r>
  <r>
    <d v="2022-01-14T00:00:00"/>
    <x v="0"/>
    <x v="29"/>
    <x v="1"/>
    <x v="31"/>
    <n v="14"/>
    <x v="0"/>
    <n v="616"/>
    <n v="677.6"/>
  </r>
  <r>
    <d v="2022-01-15T00:00:00"/>
    <x v="0"/>
    <x v="17"/>
    <x v="1"/>
    <x v="22"/>
    <n v="10"/>
    <x v="1"/>
    <n v="1210"/>
    <n v="1415.6999999999998"/>
  </r>
  <r>
    <d v="2022-01-16T00:00:00"/>
    <x v="0"/>
    <x v="23"/>
    <x v="1"/>
    <x v="9"/>
    <n v="11"/>
    <x v="1"/>
    <n v="1232"/>
    <n v="1613.92"/>
  </r>
  <r>
    <d v="2022-01-17T00:00:00"/>
    <x v="0"/>
    <x v="30"/>
    <x v="1"/>
    <x v="17"/>
    <n v="4"/>
    <x v="0"/>
    <n v="360"/>
    <n v="460.8"/>
  </r>
  <r>
    <d v="2022-01-18T00:00:00"/>
    <x v="0"/>
    <x v="7"/>
    <x v="1"/>
    <x v="25"/>
    <n v="9"/>
    <x v="1"/>
    <n v="747"/>
    <n v="851.58"/>
  </r>
  <r>
    <d v="2022-01-20T00:00:00"/>
    <x v="0"/>
    <x v="9"/>
    <x v="1"/>
    <x v="32"/>
    <n v="2"/>
    <x v="1"/>
    <n v="252"/>
    <n v="325.08"/>
  </r>
  <r>
    <d v="2022-01-20T00:00:00"/>
    <x v="0"/>
    <x v="9"/>
    <x v="1"/>
    <x v="9"/>
    <n v="7"/>
    <x v="0"/>
    <n v="784"/>
    <n v="1027.04"/>
  </r>
  <r>
    <d v="2022-01-22T00:00:00"/>
    <x v="0"/>
    <x v="18"/>
    <x v="1"/>
    <x v="16"/>
    <n v="6"/>
    <x v="1"/>
    <n v="588"/>
    <n v="623.28"/>
  </r>
  <r>
    <d v="2022-01-23T00:00:00"/>
    <x v="0"/>
    <x v="19"/>
    <x v="1"/>
    <x v="29"/>
    <n v="5"/>
    <x v="1"/>
    <n v="525"/>
    <n v="714"/>
  </r>
  <r>
    <d v="2022-01-23T00:00:00"/>
    <x v="0"/>
    <x v="19"/>
    <x v="1"/>
    <x v="10"/>
    <n v="8"/>
    <x v="0"/>
    <n v="960"/>
    <n v="1296"/>
  </r>
  <r>
    <d v="2022-01-24T00:00:00"/>
    <x v="0"/>
    <x v="27"/>
    <x v="1"/>
    <x v="28"/>
    <n v="15"/>
    <x v="0"/>
    <n v="2220"/>
    <n v="3019.2"/>
  </r>
  <r>
    <d v="2022-01-25T00:00:00"/>
    <x v="0"/>
    <x v="11"/>
    <x v="1"/>
    <x v="39"/>
    <n v="14"/>
    <x v="1"/>
    <n v="1876"/>
    <n v="2194.92"/>
  </r>
  <r>
    <d v="2022-01-28T00:00:00"/>
    <x v="0"/>
    <x v="14"/>
    <x v="1"/>
    <x v="21"/>
    <n v="11"/>
    <x v="0"/>
    <n v="143"/>
    <n v="183.04000000000002"/>
  </r>
  <r>
    <d v="2022-01-31T00:00:00"/>
    <x v="0"/>
    <x v="25"/>
    <x v="1"/>
    <x v="12"/>
    <n v="6"/>
    <x v="1"/>
    <n v="846"/>
    <n v="896.76"/>
  </r>
  <r>
    <d v="2022-01-31T00:00:00"/>
    <x v="0"/>
    <x v="25"/>
    <x v="1"/>
    <x v="41"/>
    <n v="9"/>
    <x v="1"/>
    <n v="1242"/>
    <n v="1564.92"/>
  </r>
  <r>
    <d v="2022-02-01T00:00:00"/>
    <x v="1"/>
    <x v="0"/>
    <x v="1"/>
    <x v="24"/>
    <n v="9"/>
    <x v="1"/>
    <n v="1197"/>
    <n v="1400.4900000000002"/>
  </r>
  <r>
    <d v="2022-02-03T00:00:00"/>
    <x v="1"/>
    <x v="2"/>
    <x v="1"/>
    <x v="9"/>
    <n v="8"/>
    <x v="0"/>
    <n v="896"/>
    <n v="1173.76"/>
  </r>
  <r>
    <d v="2022-02-05T00:00:00"/>
    <x v="1"/>
    <x v="15"/>
    <x v="1"/>
    <x v="30"/>
    <n v="6"/>
    <x v="1"/>
    <n v="222"/>
    <n v="295.26"/>
  </r>
  <r>
    <d v="2022-02-06T00:00:00"/>
    <x v="1"/>
    <x v="16"/>
    <x v="1"/>
    <x v="29"/>
    <n v="6"/>
    <x v="1"/>
    <n v="630"/>
    <n v="856.80000000000007"/>
  </r>
  <r>
    <d v="2022-02-08T00:00:00"/>
    <x v="1"/>
    <x v="21"/>
    <x v="1"/>
    <x v="24"/>
    <n v="11"/>
    <x v="1"/>
    <n v="1463"/>
    <n v="1711.71"/>
  </r>
  <r>
    <d v="2022-02-08T00:00:00"/>
    <x v="1"/>
    <x v="21"/>
    <x v="1"/>
    <x v="3"/>
    <n v="3"/>
    <x v="1"/>
    <n v="132"/>
    <n v="146.52000000000001"/>
  </r>
  <r>
    <d v="2022-02-09T00:00:00"/>
    <x v="1"/>
    <x v="4"/>
    <x v="1"/>
    <x v="18"/>
    <n v="14"/>
    <x v="0"/>
    <n v="1246"/>
    <n v="1644.72"/>
  </r>
  <r>
    <d v="2022-02-12T00:00:00"/>
    <x v="1"/>
    <x v="6"/>
    <x v="1"/>
    <x v="20"/>
    <n v="13"/>
    <x v="1"/>
    <n v="1924"/>
    <n v="2135.64"/>
  </r>
  <r>
    <d v="2022-02-14T00:00:00"/>
    <x v="1"/>
    <x v="29"/>
    <x v="1"/>
    <x v="42"/>
    <n v="8"/>
    <x v="1"/>
    <n v="144"/>
    <n v="197.28"/>
  </r>
  <r>
    <d v="2022-02-14T00:00:00"/>
    <x v="1"/>
    <x v="29"/>
    <x v="1"/>
    <x v="33"/>
    <n v="3"/>
    <x v="1"/>
    <n v="111"/>
    <n v="125.43"/>
  </r>
  <r>
    <d v="2022-02-16T00:00:00"/>
    <x v="1"/>
    <x v="23"/>
    <x v="1"/>
    <x v="18"/>
    <n v="1"/>
    <x v="1"/>
    <n v="89"/>
    <n v="117.48"/>
  </r>
  <r>
    <d v="2022-02-19T00:00:00"/>
    <x v="1"/>
    <x v="8"/>
    <x v="1"/>
    <x v="29"/>
    <n v="13"/>
    <x v="1"/>
    <n v="1365"/>
    <n v="1856.4"/>
  </r>
  <r>
    <d v="2022-02-20T00:00:00"/>
    <x v="1"/>
    <x v="9"/>
    <x v="1"/>
    <x v="35"/>
    <n v="6"/>
    <x v="1"/>
    <n v="438"/>
    <n v="565.02"/>
  </r>
  <r>
    <d v="2022-02-23T00:00:00"/>
    <x v="1"/>
    <x v="19"/>
    <x v="1"/>
    <x v="2"/>
    <n v="6"/>
    <x v="0"/>
    <n v="672"/>
    <n v="732.48"/>
  </r>
  <r>
    <d v="2022-02-23T00:00:00"/>
    <x v="1"/>
    <x v="19"/>
    <x v="1"/>
    <x v="21"/>
    <n v="15"/>
    <x v="1"/>
    <n v="195"/>
    <n v="249.60000000000002"/>
  </r>
  <r>
    <d v="2022-02-23T00:00:00"/>
    <x v="1"/>
    <x v="19"/>
    <x v="1"/>
    <x v="43"/>
    <n v="8"/>
    <x v="0"/>
    <n v="720"/>
    <n v="770.4"/>
  </r>
  <r>
    <d v="2022-02-27T00:00:00"/>
    <x v="1"/>
    <x v="13"/>
    <x v="1"/>
    <x v="35"/>
    <n v="7"/>
    <x v="1"/>
    <n v="511"/>
    <n v="659.19"/>
  </r>
  <r>
    <d v="2022-02-27T00:00:00"/>
    <x v="1"/>
    <x v="13"/>
    <x v="1"/>
    <x v="24"/>
    <n v="15"/>
    <x v="0"/>
    <n v="1995"/>
    <n v="2334.15"/>
  </r>
  <r>
    <d v="2022-02-28T00:00:00"/>
    <x v="1"/>
    <x v="14"/>
    <x v="1"/>
    <x v="8"/>
    <n v="15"/>
    <x v="1"/>
    <n v="1005"/>
    <n v="1286.4000000000001"/>
  </r>
  <r>
    <d v="2022-03-04T00:00:00"/>
    <x v="2"/>
    <x v="3"/>
    <x v="1"/>
    <x v="42"/>
    <n v="13"/>
    <x v="0"/>
    <n v="234"/>
    <n v="320.58"/>
  </r>
  <r>
    <d v="2022-03-06T00:00:00"/>
    <x v="2"/>
    <x v="16"/>
    <x v="1"/>
    <x v="3"/>
    <n v="2"/>
    <x v="1"/>
    <n v="88"/>
    <n v="97.68"/>
  </r>
  <r>
    <d v="2022-03-07T00:00:00"/>
    <x v="2"/>
    <x v="20"/>
    <x v="1"/>
    <x v="6"/>
    <n v="1"/>
    <x v="1"/>
    <n v="71"/>
    <n v="80.94"/>
  </r>
  <r>
    <d v="2022-03-08T00:00:00"/>
    <x v="2"/>
    <x v="21"/>
    <x v="1"/>
    <x v="11"/>
    <n v="6"/>
    <x v="0"/>
    <n v="456"/>
    <n v="492.48"/>
  </r>
  <r>
    <d v="2022-03-09T00:00:00"/>
    <x v="2"/>
    <x v="4"/>
    <x v="1"/>
    <x v="28"/>
    <n v="3"/>
    <x v="0"/>
    <n v="444"/>
    <n v="603.84"/>
  </r>
  <r>
    <d v="2022-03-09T00:00:00"/>
    <x v="2"/>
    <x v="4"/>
    <x v="1"/>
    <x v="3"/>
    <n v="11"/>
    <x v="1"/>
    <n v="484"/>
    <n v="537.24"/>
  </r>
  <r>
    <d v="2022-03-10T00:00:00"/>
    <x v="2"/>
    <x v="26"/>
    <x v="1"/>
    <x v="38"/>
    <n v="12"/>
    <x v="0"/>
    <n v="1140"/>
    <n v="1436.4"/>
  </r>
  <r>
    <d v="2022-03-14T00:00:00"/>
    <x v="2"/>
    <x v="29"/>
    <x v="1"/>
    <x v="21"/>
    <n v="2"/>
    <x v="1"/>
    <n v="26"/>
    <n v="33.28"/>
  </r>
  <r>
    <d v="2022-03-14T00:00:00"/>
    <x v="2"/>
    <x v="29"/>
    <x v="1"/>
    <x v="42"/>
    <n v="13"/>
    <x v="0"/>
    <n v="234"/>
    <n v="320.58"/>
  </r>
  <r>
    <d v="2022-03-18T00:00:00"/>
    <x v="2"/>
    <x v="7"/>
    <x v="1"/>
    <x v="40"/>
    <n v="2"/>
    <x v="1"/>
    <n v="300"/>
    <n v="420"/>
  </r>
  <r>
    <d v="2022-03-18T00:00:00"/>
    <x v="2"/>
    <x v="7"/>
    <x v="1"/>
    <x v="26"/>
    <n v="10"/>
    <x v="1"/>
    <n v="480"/>
    <n v="571.20000000000005"/>
  </r>
  <r>
    <d v="2022-03-19T00:00:00"/>
    <x v="2"/>
    <x v="8"/>
    <x v="1"/>
    <x v="41"/>
    <n v="6"/>
    <x v="1"/>
    <n v="828"/>
    <n v="1043.28"/>
  </r>
  <r>
    <d v="2022-03-23T00:00:00"/>
    <x v="2"/>
    <x v="19"/>
    <x v="1"/>
    <x v="18"/>
    <n v="9"/>
    <x v="1"/>
    <n v="801"/>
    <n v="1057.32"/>
  </r>
  <r>
    <d v="2022-03-25T00:00:00"/>
    <x v="2"/>
    <x v="11"/>
    <x v="1"/>
    <x v="16"/>
    <n v="2"/>
    <x v="0"/>
    <n v="196"/>
    <n v="207.76"/>
  </r>
  <r>
    <d v="2022-03-25T00:00:00"/>
    <x v="2"/>
    <x v="11"/>
    <x v="1"/>
    <x v="28"/>
    <n v="11"/>
    <x v="0"/>
    <n v="1628"/>
    <n v="2214.08"/>
  </r>
  <r>
    <d v="2022-03-29T00:00:00"/>
    <x v="2"/>
    <x v="28"/>
    <x v="1"/>
    <x v="18"/>
    <n v="12"/>
    <x v="0"/>
    <n v="1068"/>
    <n v="1409.76"/>
  </r>
  <r>
    <d v="2022-03-30T00:00:00"/>
    <x v="2"/>
    <x v="24"/>
    <x v="1"/>
    <x v="16"/>
    <n v="13"/>
    <x v="1"/>
    <n v="1274"/>
    <n v="1350.44"/>
  </r>
  <r>
    <d v="2022-04-01T00:00:00"/>
    <x v="3"/>
    <x v="0"/>
    <x v="1"/>
    <x v="29"/>
    <n v="2"/>
    <x v="1"/>
    <n v="210"/>
    <n v="285.60000000000002"/>
  </r>
  <r>
    <d v="2022-04-02T00:00:00"/>
    <x v="3"/>
    <x v="1"/>
    <x v="1"/>
    <x v="29"/>
    <n v="3"/>
    <x v="1"/>
    <n v="315"/>
    <n v="428.40000000000003"/>
  </r>
  <r>
    <d v="2022-04-06T00:00:00"/>
    <x v="3"/>
    <x v="16"/>
    <x v="1"/>
    <x v="17"/>
    <n v="2"/>
    <x v="1"/>
    <n v="180"/>
    <n v="230.4"/>
  </r>
  <r>
    <d v="2022-04-07T00:00:00"/>
    <x v="3"/>
    <x v="20"/>
    <x v="1"/>
    <x v="42"/>
    <n v="7"/>
    <x v="0"/>
    <n v="126"/>
    <n v="172.62"/>
  </r>
  <r>
    <d v="2022-04-09T00:00:00"/>
    <x v="3"/>
    <x v="4"/>
    <x v="1"/>
    <x v="34"/>
    <n v="12"/>
    <x v="1"/>
    <n v="444"/>
    <n v="510.59999999999997"/>
  </r>
  <r>
    <d v="2022-04-09T00:00:00"/>
    <x v="3"/>
    <x v="4"/>
    <x v="1"/>
    <x v="29"/>
    <n v="9"/>
    <x v="0"/>
    <n v="945"/>
    <n v="1285.2"/>
  </r>
  <r>
    <d v="2022-04-13T00:00:00"/>
    <x v="3"/>
    <x v="22"/>
    <x v="1"/>
    <x v="21"/>
    <n v="14"/>
    <x v="0"/>
    <n v="182"/>
    <n v="232.96"/>
  </r>
  <r>
    <d v="2022-04-18T00:00:00"/>
    <x v="3"/>
    <x v="7"/>
    <x v="1"/>
    <x v="41"/>
    <n v="9"/>
    <x v="1"/>
    <n v="1242"/>
    <n v="1564.92"/>
  </r>
  <r>
    <d v="2022-04-20T00:00:00"/>
    <x v="3"/>
    <x v="9"/>
    <x v="1"/>
    <x v="30"/>
    <n v="2"/>
    <x v="0"/>
    <n v="74"/>
    <n v="98.42"/>
  </r>
  <r>
    <d v="2022-04-20T00:00:00"/>
    <x v="3"/>
    <x v="9"/>
    <x v="1"/>
    <x v="35"/>
    <n v="4"/>
    <x v="0"/>
    <n v="292"/>
    <n v="376.68"/>
  </r>
  <r>
    <d v="2022-04-21T00:00:00"/>
    <x v="3"/>
    <x v="10"/>
    <x v="1"/>
    <x v="28"/>
    <n v="2"/>
    <x v="1"/>
    <n v="296"/>
    <n v="402.56"/>
  </r>
  <r>
    <d v="2022-04-21T00:00:00"/>
    <x v="3"/>
    <x v="10"/>
    <x v="1"/>
    <x v="42"/>
    <n v="14"/>
    <x v="0"/>
    <n v="252"/>
    <n v="345.24"/>
  </r>
  <r>
    <d v="2022-04-23T00:00:00"/>
    <x v="3"/>
    <x v="19"/>
    <x v="1"/>
    <x v="11"/>
    <n v="15"/>
    <x v="0"/>
    <n v="1140"/>
    <n v="1231.2"/>
  </r>
  <r>
    <d v="2022-04-24T00:00:00"/>
    <x v="3"/>
    <x v="27"/>
    <x v="1"/>
    <x v="13"/>
    <n v="4"/>
    <x v="0"/>
    <n v="220"/>
    <n v="233.2"/>
  </r>
  <r>
    <d v="2022-04-25T00:00:00"/>
    <x v="3"/>
    <x v="11"/>
    <x v="1"/>
    <x v="3"/>
    <n v="9"/>
    <x v="1"/>
    <n v="396"/>
    <n v="439.56000000000006"/>
  </r>
  <r>
    <d v="2022-04-25T00:00:00"/>
    <x v="3"/>
    <x v="11"/>
    <x v="1"/>
    <x v="6"/>
    <n v="8"/>
    <x v="0"/>
    <n v="568"/>
    <n v="647.52"/>
  </r>
  <r>
    <d v="2022-04-26T00:00:00"/>
    <x v="3"/>
    <x v="12"/>
    <x v="1"/>
    <x v="26"/>
    <n v="2"/>
    <x v="1"/>
    <n v="96"/>
    <n v="114.24000000000001"/>
  </r>
  <r>
    <d v="2022-04-28T00:00:00"/>
    <x v="3"/>
    <x v="14"/>
    <x v="1"/>
    <x v="9"/>
    <n v="14"/>
    <x v="1"/>
    <n v="1568"/>
    <n v="2054.08"/>
  </r>
  <r>
    <d v="2022-04-30T00:00:00"/>
    <x v="3"/>
    <x v="24"/>
    <x v="1"/>
    <x v="21"/>
    <n v="13"/>
    <x v="0"/>
    <n v="169"/>
    <n v="216.32"/>
  </r>
  <r>
    <d v="2022-04-30T00:00:00"/>
    <x v="3"/>
    <x v="24"/>
    <x v="1"/>
    <x v="26"/>
    <n v="8"/>
    <x v="0"/>
    <n v="384"/>
    <n v="456.96000000000004"/>
  </r>
  <r>
    <d v="2022-05-01T00:00:00"/>
    <x v="4"/>
    <x v="0"/>
    <x v="1"/>
    <x v="13"/>
    <n v="9"/>
    <x v="0"/>
    <n v="495"/>
    <n v="524.69999999999993"/>
  </r>
  <r>
    <d v="2022-05-01T00:00:00"/>
    <x v="4"/>
    <x v="0"/>
    <x v="1"/>
    <x v="38"/>
    <n v="6"/>
    <x v="0"/>
    <n v="570"/>
    <n v="718.2"/>
  </r>
  <r>
    <d v="2022-05-02T00:00:00"/>
    <x v="4"/>
    <x v="1"/>
    <x v="1"/>
    <x v="2"/>
    <n v="4"/>
    <x v="1"/>
    <n v="448"/>
    <n v="488.32"/>
  </r>
  <r>
    <d v="2022-05-04T00:00:00"/>
    <x v="4"/>
    <x v="3"/>
    <x v="1"/>
    <x v="14"/>
    <n v="10"/>
    <x v="0"/>
    <n v="610"/>
    <n v="762.5"/>
  </r>
  <r>
    <d v="2022-05-06T00:00:00"/>
    <x v="4"/>
    <x v="16"/>
    <x v="1"/>
    <x v="13"/>
    <n v="7"/>
    <x v="0"/>
    <n v="385"/>
    <n v="408.09999999999997"/>
  </r>
  <r>
    <d v="2022-05-07T00:00:00"/>
    <x v="4"/>
    <x v="20"/>
    <x v="1"/>
    <x v="27"/>
    <n v="4"/>
    <x v="1"/>
    <n v="48"/>
    <n v="62.879999999999995"/>
  </r>
  <r>
    <d v="2022-05-07T00:00:00"/>
    <x v="4"/>
    <x v="20"/>
    <x v="1"/>
    <x v="26"/>
    <n v="1"/>
    <x v="0"/>
    <n v="48"/>
    <n v="57.120000000000005"/>
  </r>
  <r>
    <d v="2022-05-08T00:00:00"/>
    <x v="4"/>
    <x v="21"/>
    <x v="1"/>
    <x v="22"/>
    <n v="7"/>
    <x v="0"/>
    <n v="847"/>
    <n v="990.99"/>
  </r>
  <r>
    <d v="2022-05-09T00:00:00"/>
    <x v="4"/>
    <x v="4"/>
    <x v="1"/>
    <x v="39"/>
    <n v="12"/>
    <x v="1"/>
    <n v="1608"/>
    <n v="1881.3600000000001"/>
  </r>
  <r>
    <d v="2022-05-10T00:00:00"/>
    <x v="4"/>
    <x v="26"/>
    <x v="1"/>
    <x v="37"/>
    <n v="6"/>
    <x v="0"/>
    <n v="36"/>
    <n v="47.16"/>
  </r>
  <r>
    <d v="2022-05-12T00:00:00"/>
    <x v="4"/>
    <x v="6"/>
    <x v="1"/>
    <x v="31"/>
    <n v="7"/>
    <x v="1"/>
    <n v="308"/>
    <n v="338.8"/>
  </r>
  <r>
    <d v="2022-05-13T00:00:00"/>
    <x v="4"/>
    <x v="22"/>
    <x v="1"/>
    <x v="35"/>
    <n v="5"/>
    <x v="0"/>
    <n v="365"/>
    <n v="470.85"/>
  </r>
  <r>
    <d v="2022-05-14T00:00:00"/>
    <x v="4"/>
    <x v="29"/>
    <x v="1"/>
    <x v="25"/>
    <n v="14"/>
    <x v="1"/>
    <n v="1162"/>
    <n v="1324.68"/>
  </r>
  <r>
    <d v="2022-05-15T00:00:00"/>
    <x v="4"/>
    <x v="17"/>
    <x v="1"/>
    <x v="14"/>
    <n v="5"/>
    <x v="0"/>
    <n v="305"/>
    <n v="381.25"/>
  </r>
  <r>
    <d v="2022-05-16T00:00:00"/>
    <x v="4"/>
    <x v="23"/>
    <x v="1"/>
    <x v="20"/>
    <n v="13"/>
    <x v="1"/>
    <n v="1924"/>
    <n v="2135.64"/>
  </r>
  <r>
    <d v="2022-05-16T00:00:00"/>
    <x v="4"/>
    <x v="23"/>
    <x v="1"/>
    <x v="5"/>
    <n v="13"/>
    <x v="0"/>
    <n v="1209"/>
    <n v="1354.08"/>
  </r>
  <r>
    <d v="2022-05-17T00:00:00"/>
    <x v="4"/>
    <x v="30"/>
    <x v="1"/>
    <x v="26"/>
    <n v="8"/>
    <x v="1"/>
    <n v="384"/>
    <n v="456.96000000000004"/>
  </r>
  <r>
    <d v="2022-05-18T00:00:00"/>
    <x v="4"/>
    <x v="7"/>
    <x v="1"/>
    <x v="26"/>
    <n v="4"/>
    <x v="0"/>
    <n v="192"/>
    <n v="228.48000000000002"/>
  </r>
  <r>
    <d v="2022-05-18T00:00:00"/>
    <x v="4"/>
    <x v="7"/>
    <x v="1"/>
    <x v="1"/>
    <n v="8"/>
    <x v="0"/>
    <n v="576"/>
    <n v="639.36"/>
  </r>
  <r>
    <d v="2022-05-20T00:00:00"/>
    <x v="4"/>
    <x v="9"/>
    <x v="1"/>
    <x v="11"/>
    <n v="15"/>
    <x v="1"/>
    <n v="1140"/>
    <n v="1231.2"/>
  </r>
  <r>
    <d v="2022-05-22T00:00:00"/>
    <x v="4"/>
    <x v="18"/>
    <x v="1"/>
    <x v="27"/>
    <n v="12"/>
    <x v="0"/>
    <n v="144"/>
    <n v="188.64"/>
  </r>
  <r>
    <d v="2022-05-25T00:00:00"/>
    <x v="4"/>
    <x v="11"/>
    <x v="1"/>
    <x v="29"/>
    <n v="7"/>
    <x v="0"/>
    <n v="735"/>
    <n v="999.60000000000014"/>
  </r>
  <r>
    <d v="2022-05-26T00:00:00"/>
    <x v="4"/>
    <x v="12"/>
    <x v="1"/>
    <x v="33"/>
    <n v="2"/>
    <x v="0"/>
    <n v="74"/>
    <n v="83.62"/>
  </r>
  <r>
    <d v="2022-05-26T00:00:00"/>
    <x v="4"/>
    <x v="12"/>
    <x v="1"/>
    <x v="26"/>
    <n v="2"/>
    <x v="0"/>
    <n v="96"/>
    <n v="114.24000000000001"/>
  </r>
  <r>
    <d v="2022-05-28T00:00:00"/>
    <x v="4"/>
    <x v="14"/>
    <x v="1"/>
    <x v="41"/>
    <n v="10"/>
    <x v="1"/>
    <n v="1380"/>
    <n v="1738.8"/>
  </r>
  <r>
    <d v="2022-05-28T00:00:00"/>
    <x v="4"/>
    <x v="14"/>
    <x v="1"/>
    <x v="25"/>
    <n v="5"/>
    <x v="0"/>
    <n v="415"/>
    <n v="473.1"/>
  </r>
  <r>
    <d v="2022-05-28T00:00:00"/>
    <x v="4"/>
    <x v="14"/>
    <x v="1"/>
    <x v="20"/>
    <n v="9"/>
    <x v="1"/>
    <n v="1332"/>
    <n v="1478.52"/>
  </r>
  <r>
    <d v="2022-05-28T00:00:00"/>
    <x v="4"/>
    <x v="14"/>
    <x v="1"/>
    <x v="3"/>
    <n v="12"/>
    <x v="0"/>
    <n v="528"/>
    <n v="586.08000000000004"/>
  </r>
  <r>
    <d v="2022-05-28T00:00:00"/>
    <x v="4"/>
    <x v="14"/>
    <x v="1"/>
    <x v="14"/>
    <n v="14"/>
    <x v="1"/>
    <n v="854"/>
    <n v="1067.5"/>
  </r>
  <r>
    <d v="2022-05-30T00:00:00"/>
    <x v="4"/>
    <x v="24"/>
    <x v="1"/>
    <x v="11"/>
    <n v="9"/>
    <x v="0"/>
    <n v="684"/>
    <n v="738.72"/>
  </r>
  <r>
    <d v="2022-05-30T00:00:00"/>
    <x v="4"/>
    <x v="24"/>
    <x v="1"/>
    <x v="24"/>
    <n v="4"/>
    <x v="1"/>
    <n v="532"/>
    <n v="622.44000000000005"/>
  </r>
  <r>
    <d v="2022-05-30T00:00:00"/>
    <x v="4"/>
    <x v="24"/>
    <x v="1"/>
    <x v="38"/>
    <n v="3"/>
    <x v="1"/>
    <n v="285"/>
    <n v="359.1"/>
  </r>
  <r>
    <d v="2022-06-03T00:00:00"/>
    <x v="5"/>
    <x v="2"/>
    <x v="1"/>
    <x v="25"/>
    <n v="14"/>
    <x v="0"/>
    <n v="1162"/>
    <n v="1324.68"/>
  </r>
  <r>
    <d v="2022-06-10T00:00:00"/>
    <x v="5"/>
    <x v="26"/>
    <x v="1"/>
    <x v="33"/>
    <n v="8"/>
    <x v="0"/>
    <n v="296"/>
    <n v="334.48"/>
  </r>
  <r>
    <d v="2022-06-11T00:00:00"/>
    <x v="5"/>
    <x v="5"/>
    <x v="1"/>
    <x v="34"/>
    <n v="13"/>
    <x v="1"/>
    <n v="481"/>
    <n v="553.15"/>
  </r>
  <r>
    <d v="2022-06-11T00:00:00"/>
    <x v="5"/>
    <x v="5"/>
    <x v="1"/>
    <x v="32"/>
    <n v="6"/>
    <x v="0"/>
    <n v="756"/>
    <n v="975.24"/>
  </r>
  <r>
    <d v="2022-06-13T00:00:00"/>
    <x v="5"/>
    <x v="22"/>
    <x v="1"/>
    <x v="42"/>
    <n v="6"/>
    <x v="1"/>
    <n v="108"/>
    <n v="147.96"/>
  </r>
  <r>
    <d v="2022-06-15T00:00:00"/>
    <x v="5"/>
    <x v="17"/>
    <x v="1"/>
    <x v="10"/>
    <n v="15"/>
    <x v="0"/>
    <n v="1800"/>
    <n v="2430"/>
  </r>
  <r>
    <d v="2022-06-16T00:00:00"/>
    <x v="5"/>
    <x v="23"/>
    <x v="1"/>
    <x v="19"/>
    <n v="15"/>
    <x v="1"/>
    <n v="705"/>
    <n v="796.65"/>
  </r>
  <r>
    <d v="2022-06-19T00:00:00"/>
    <x v="5"/>
    <x v="8"/>
    <x v="1"/>
    <x v="29"/>
    <n v="8"/>
    <x v="1"/>
    <n v="840"/>
    <n v="1142.4000000000001"/>
  </r>
  <r>
    <d v="2022-06-21T00:00:00"/>
    <x v="5"/>
    <x v="10"/>
    <x v="1"/>
    <x v="39"/>
    <n v="14"/>
    <x v="1"/>
    <n v="1876"/>
    <n v="2194.92"/>
  </r>
  <r>
    <d v="2022-06-22T00:00:00"/>
    <x v="5"/>
    <x v="18"/>
    <x v="1"/>
    <x v="17"/>
    <n v="10"/>
    <x v="1"/>
    <n v="900"/>
    <n v="1152"/>
  </r>
  <r>
    <d v="2022-06-22T00:00:00"/>
    <x v="5"/>
    <x v="18"/>
    <x v="1"/>
    <x v="16"/>
    <n v="4"/>
    <x v="1"/>
    <n v="392"/>
    <n v="415.52"/>
  </r>
  <r>
    <d v="2022-06-23T00:00:00"/>
    <x v="5"/>
    <x v="19"/>
    <x v="1"/>
    <x v="3"/>
    <n v="8"/>
    <x v="0"/>
    <n v="352"/>
    <n v="390.72"/>
  </r>
  <r>
    <d v="2022-06-24T00:00:00"/>
    <x v="5"/>
    <x v="27"/>
    <x v="1"/>
    <x v="30"/>
    <n v="7"/>
    <x v="1"/>
    <n v="259"/>
    <n v="344.47"/>
  </r>
  <r>
    <d v="2022-06-25T00:00:00"/>
    <x v="5"/>
    <x v="11"/>
    <x v="1"/>
    <x v="35"/>
    <n v="7"/>
    <x v="0"/>
    <n v="511"/>
    <n v="659.19"/>
  </r>
  <r>
    <d v="2022-06-26T00:00:00"/>
    <x v="5"/>
    <x v="12"/>
    <x v="1"/>
    <x v="13"/>
    <n v="4"/>
    <x v="1"/>
    <n v="220"/>
    <n v="233.2"/>
  </r>
  <r>
    <d v="2022-06-26T00:00:00"/>
    <x v="5"/>
    <x v="12"/>
    <x v="1"/>
    <x v="23"/>
    <n v="12"/>
    <x v="0"/>
    <n v="804"/>
    <n v="996.96"/>
  </r>
  <r>
    <d v="2022-07-03T00:00:00"/>
    <x v="6"/>
    <x v="2"/>
    <x v="1"/>
    <x v="38"/>
    <n v="15"/>
    <x v="1"/>
    <n v="1425"/>
    <n v="1795.5"/>
  </r>
  <r>
    <d v="2022-07-04T00:00:00"/>
    <x v="6"/>
    <x v="3"/>
    <x v="1"/>
    <x v="36"/>
    <n v="7"/>
    <x v="0"/>
    <n v="301"/>
    <n v="334.11"/>
  </r>
  <r>
    <d v="2022-07-05T00:00:00"/>
    <x v="6"/>
    <x v="15"/>
    <x v="1"/>
    <x v="7"/>
    <n v="7"/>
    <x v="1"/>
    <n v="49"/>
    <n v="58.31"/>
  </r>
  <r>
    <d v="2022-07-05T00:00:00"/>
    <x v="6"/>
    <x v="15"/>
    <x v="1"/>
    <x v="27"/>
    <n v="8"/>
    <x v="0"/>
    <n v="96"/>
    <n v="125.75999999999999"/>
  </r>
  <r>
    <d v="2022-07-06T00:00:00"/>
    <x v="6"/>
    <x v="16"/>
    <x v="1"/>
    <x v="41"/>
    <n v="2"/>
    <x v="1"/>
    <n v="276"/>
    <n v="347.76"/>
  </r>
  <r>
    <d v="2022-07-08T00:00:00"/>
    <x v="6"/>
    <x v="21"/>
    <x v="1"/>
    <x v="30"/>
    <n v="2"/>
    <x v="0"/>
    <n v="74"/>
    <n v="98.42"/>
  </r>
  <r>
    <d v="2022-07-10T00:00:00"/>
    <x v="6"/>
    <x v="26"/>
    <x v="1"/>
    <x v="18"/>
    <n v="12"/>
    <x v="1"/>
    <n v="1068"/>
    <n v="1409.76"/>
  </r>
  <r>
    <d v="2022-07-12T00:00:00"/>
    <x v="6"/>
    <x v="6"/>
    <x v="1"/>
    <x v="33"/>
    <n v="12"/>
    <x v="1"/>
    <n v="444"/>
    <n v="501.72"/>
  </r>
  <r>
    <d v="2022-07-13T00:00:00"/>
    <x v="6"/>
    <x v="22"/>
    <x v="1"/>
    <x v="7"/>
    <n v="7"/>
    <x v="0"/>
    <n v="49"/>
    <n v="58.31"/>
  </r>
  <r>
    <d v="2022-07-14T00:00:00"/>
    <x v="6"/>
    <x v="29"/>
    <x v="1"/>
    <x v="38"/>
    <n v="9"/>
    <x v="0"/>
    <n v="855"/>
    <n v="1077.3"/>
  </r>
  <r>
    <d v="2022-07-15T00:00:00"/>
    <x v="6"/>
    <x v="17"/>
    <x v="1"/>
    <x v="3"/>
    <n v="2"/>
    <x v="0"/>
    <n v="88"/>
    <n v="97.68"/>
  </r>
  <r>
    <d v="2022-07-17T00:00:00"/>
    <x v="6"/>
    <x v="30"/>
    <x v="1"/>
    <x v="41"/>
    <n v="8"/>
    <x v="1"/>
    <n v="1104"/>
    <n v="1391.04"/>
  </r>
  <r>
    <d v="2022-07-18T00:00:00"/>
    <x v="6"/>
    <x v="7"/>
    <x v="1"/>
    <x v="20"/>
    <n v="12"/>
    <x v="0"/>
    <n v="1776"/>
    <n v="1971.3600000000001"/>
  </r>
  <r>
    <d v="2022-07-20T00:00:00"/>
    <x v="6"/>
    <x v="9"/>
    <x v="1"/>
    <x v="10"/>
    <n v="8"/>
    <x v="0"/>
    <n v="960"/>
    <n v="1296"/>
  </r>
  <r>
    <d v="2022-07-22T00:00:00"/>
    <x v="6"/>
    <x v="18"/>
    <x v="1"/>
    <x v="13"/>
    <n v="6"/>
    <x v="1"/>
    <n v="330"/>
    <n v="349.79999999999995"/>
  </r>
  <r>
    <d v="2022-07-23T00:00:00"/>
    <x v="6"/>
    <x v="19"/>
    <x v="1"/>
    <x v="30"/>
    <n v="2"/>
    <x v="0"/>
    <n v="74"/>
    <n v="98.42"/>
  </r>
  <r>
    <d v="2022-07-24T00:00:00"/>
    <x v="6"/>
    <x v="27"/>
    <x v="1"/>
    <x v="15"/>
    <n v="14"/>
    <x v="1"/>
    <n v="1050"/>
    <n v="1197"/>
  </r>
  <r>
    <d v="2022-07-24T00:00:00"/>
    <x v="6"/>
    <x v="27"/>
    <x v="1"/>
    <x v="26"/>
    <n v="1"/>
    <x v="0"/>
    <n v="48"/>
    <n v="57.120000000000005"/>
  </r>
  <r>
    <d v="2022-07-25T00:00:00"/>
    <x v="6"/>
    <x v="11"/>
    <x v="1"/>
    <x v="11"/>
    <n v="2"/>
    <x v="1"/>
    <n v="152"/>
    <n v="164.16"/>
  </r>
  <r>
    <d v="2022-07-25T00:00:00"/>
    <x v="6"/>
    <x v="11"/>
    <x v="1"/>
    <x v="39"/>
    <n v="12"/>
    <x v="1"/>
    <n v="1608"/>
    <n v="1881.3600000000001"/>
  </r>
  <r>
    <d v="2022-07-25T00:00:00"/>
    <x v="6"/>
    <x v="11"/>
    <x v="1"/>
    <x v="6"/>
    <n v="13"/>
    <x v="1"/>
    <n v="923"/>
    <n v="1052.22"/>
  </r>
  <r>
    <d v="2022-07-26T00:00:00"/>
    <x v="6"/>
    <x v="12"/>
    <x v="1"/>
    <x v="6"/>
    <n v="10"/>
    <x v="0"/>
    <n v="710"/>
    <n v="809.4"/>
  </r>
  <r>
    <d v="2022-07-26T00:00:00"/>
    <x v="6"/>
    <x v="12"/>
    <x v="1"/>
    <x v="42"/>
    <n v="1"/>
    <x v="1"/>
    <n v="18"/>
    <n v="24.66"/>
  </r>
  <r>
    <d v="2022-08-03T00:00:00"/>
    <x v="7"/>
    <x v="2"/>
    <x v="1"/>
    <x v="35"/>
    <n v="5"/>
    <x v="1"/>
    <n v="365"/>
    <n v="470.85"/>
  </r>
  <r>
    <d v="2022-08-06T00:00:00"/>
    <x v="7"/>
    <x v="16"/>
    <x v="1"/>
    <x v="21"/>
    <n v="9"/>
    <x v="0"/>
    <n v="117"/>
    <n v="149.76"/>
  </r>
  <r>
    <d v="2022-08-08T00:00:00"/>
    <x v="7"/>
    <x v="21"/>
    <x v="1"/>
    <x v="21"/>
    <n v="2"/>
    <x v="0"/>
    <n v="26"/>
    <n v="33.28"/>
  </r>
  <r>
    <d v="2022-08-08T00:00:00"/>
    <x v="7"/>
    <x v="21"/>
    <x v="1"/>
    <x v="18"/>
    <n v="12"/>
    <x v="1"/>
    <n v="1068"/>
    <n v="1409.76"/>
  </r>
  <r>
    <d v="2022-08-08T00:00:00"/>
    <x v="7"/>
    <x v="21"/>
    <x v="1"/>
    <x v="32"/>
    <n v="11"/>
    <x v="1"/>
    <n v="1386"/>
    <n v="1787.9399999999998"/>
  </r>
  <r>
    <d v="2022-08-14T00:00:00"/>
    <x v="7"/>
    <x v="29"/>
    <x v="1"/>
    <x v="28"/>
    <n v="14"/>
    <x v="1"/>
    <n v="2072"/>
    <n v="2817.92"/>
  </r>
  <r>
    <d v="2022-08-15T00:00:00"/>
    <x v="7"/>
    <x v="17"/>
    <x v="1"/>
    <x v="31"/>
    <n v="10"/>
    <x v="1"/>
    <n v="440"/>
    <n v="484"/>
  </r>
  <r>
    <d v="2022-08-15T00:00:00"/>
    <x v="7"/>
    <x v="17"/>
    <x v="1"/>
    <x v="27"/>
    <n v="7"/>
    <x v="0"/>
    <n v="84"/>
    <n v="110.03999999999999"/>
  </r>
  <r>
    <d v="2022-08-18T00:00:00"/>
    <x v="7"/>
    <x v="7"/>
    <x v="1"/>
    <x v="19"/>
    <n v="8"/>
    <x v="0"/>
    <n v="376"/>
    <n v="424.88"/>
  </r>
  <r>
    <d v="2022-08-18T00:00:00"/>
    <x v="7"/>
    <x v="7"/>
    <x v="1"/>
    <x v="20"/>
    <n v="2"/>
    <x v="1"/>
    <n v="296"/>
    <n v="328.56"/>
  </r>
  <r>
    <d v="2022-08-19T00:00:00"/>
    <x v="7"/>
    <x v="8"/>
    <x v="1"/>
    <x v="36"/>
    <n v="3"/>
    <x v="0"/>
    <n v="129"/>
    <n v="143.19"/>
  </r>
  <r>
    <d v="2022-08-20T00:00:00"/>
    <x v="7"/>
    <x v="9"/>
    <x v="1"/>
    <x v="12"/>
    <n v="13"/>
    <x v="0"/>
    <n v="1833"/>
    <n v="1942.98"/>
  </r>
  <r>
    <d v="2022-08-20T00:00:00"/>
    <x v="7"/>
    <x v="9"/>
    <x v="1"/>
    <x v="38"/>
    <n v="14"/>
    <x v="0"/>
    <n v="1330"/>
    <n v="1675.8"/>
  </r>
  <r>
    <d v="2022-08-21T00:00:00"/>
    <x v="7"/>
    <x v="10"/>
    <x v="1"/>
    <x v="21"/>
    <n v="4"/>
    <x v="0"/>
    <n v="52"/>
    <n v="66.56"/>
  </r>
  <r>
    <d v="2022-08-23T00:00:00"/>
    <x v="7"/>
    <x v="19"/>
    <x v="1"/>
    <x v="11"/>
    <n v="11"/>
    <x v="0"/>
    <n v="836"/>
    <n v="902.88"/>
  </r>
  <r>
    <d v="2022-08-23T00:00:00"/>
    <x v="7"/>
    <x v="19"/>
    <x v="1"/>
    <x v="19"/>
    <n v="14"/>
    <x v="1"/>
    <n v="658"/>
    <n v="743.54"/>
  </r>
  <r>
    <d v="2022-08-24T00:00:00"/>
    <x v="7"/>
    <x v="27"/>
    <x v="1"/>
    <x v="24"/>
    <n v="5"/>
    <x v="1"/>
    <n v="665"/>
    <n v="778.05000000000007"/>
  </r>
  <r>
    <d v="2022-08-26T00:00:00"/>
    <x v="7"/>
    <x v="12"/>
    <x v="1"/>
    <x v="40"/>
    <n v="13"/>
    <x v="1"/>
    <n v="1950"/>
    <n v="2730"/>
  </r>
  <r>
    <d v="2022-08-26T00:00:00"/>
    <x v="7"/>
    <x v="12"/>
    <x v="1"/>
    <x v="8"/>
    <n v="8"/>
    <x v="0"/>
    <n v="536"/>
    <n v="686.08"/>
  </r>
  <r>
    <d v="2022-08-27T00:00:00"/>
    <x v="7"/>
    <x v="13"/>
    <x v="1"/>
    <x v="34"/>
    <n v="15"/>
    <x v="0"/>
    <n v="555"/>
    <n v="638.25"/>
  </r>
  <r>
    <d v="2022-08-28T00:00:00"/>
    <x v="7"/>
    <x v="14"/>
    <x v="1"/>
    <x v="24"/>
    <n v="9"/>
    <x v="0"/>
    <n v="1197"/>
    <n v="1400.4900000000002"/>
  </r>
  <r>
    <d v="2022-08-28T00:00:00"/>
    <x v="7"/>
    <x v="14"/>
    <x v="1"/>
    <x v="34"/>
    <n v="5"/>
    <x v="0"/>
    <n v="185"/>
    <n v="212.75"/>
  </r>
  <r>
    <d v="2022-08-30T00:00:00"/>
    <x v="7"/>
    <x v="24"/>
    <x v="1"/>
    <x v="15"/>
    <n v="6"/>
    <x v="1"/>
    <n v="450"/>
    <n v="513"/>
  </r>
  <r>
    <d v="2022-08-30T00:00:00"/>
    <x v="7"/>
    <x v="24"/>
    <x v="1"/>
    <x v="23"/>
    <n v="6"/>
    <x v="1"/>
    <n v="402"/>
    <n v="498.48"/>
  </r>
  <r>
    <d v="2022-08-30T00:00:00"/>
    <x v="7"/>
    <x v="24"/>
    <x v="1"/>
    <x v="7"/>
    <n v="5"/>
    <x v="1"/>
    <n v="35"/>
    <n v="41.65"/>
  </r>
  <r>
    <d v="2022-08-31T00:00:00"/>
    <x v="7"/>
    <x v="25"/>
    <x v="1"/>
    <x v="27"/>
    <n v="13"/>
    <x v="1"/>
    <n v="156"/>
    <n v="204.35999999999999"/>
  </r>
  <r>
    <d v="2022-09-04T00:00:00"/>
    <x v="8"/>
    <x v="3"/>
    <x v="1"/>
    <x v="29"/>
    <n v="1"/>
    <x v="1"/>
    <n v="105"/>
    <n v="142.80000000000001"/>
  </r>
  <r>
    <d v="2022-09-06T00:00:00"/>
    <x v="8"/>
    <x v="16"/>
    <x v="1"/>
    <x v="24"/>
    <n v="12"/>
    <x v="0"/>
    <n v="1596"/>
    <n v="1867.3200000000002"/>
  </r>
  <r>
    <d v="2022-09-09T00:00:00"/>
    <x v="8"/>
    <x v="4"/>
    <x v="1"/>
    <x v="41"/>
    <n v="9"/>
    <x v="0"/>
    <n v="1242"/>
    <n v="1564.92"/>
  </r>
  <r>
    <d v="2022-09-09T00:00:00"/>
    <x v="8"/>
    <x v="4"/>
    <x v="1"/>
    <x v="6"/>
    <n v="3"/>
    <x v="0"/>
    <n v="213"/>
    <n v="242.82"/>
  </r>
  <r>
    <d v="2022-09-10T00:00:00"/>
    <x v="8"/>
    <x v="26"/>
    <x v="1"/>
    <x v="4"/>
    <n v="15"/>
    <x v="1"/>
    <n v="75"/>
    <n v="100.5"/>
  </r>
  <r>
    <d v="2022-09-10T00:00:00"/>
    <x v="8"/>
    <x v="26"/>
    <x v="1"/>
    <x v="1"/>
    <n v="4"/>
    <x v="1"/>
    <n v="288"/>
    <n v="319.68"/>
  </r>
  <r>
    <d v="2022-09-14T00:00:00"/>
    <x v="8"/>
    <x v="29"/>
    <x v="1"/>
    <x v="19"/>
    <n v="3"/>
    <x v="1"/>
    <n v="141"/>
    <n v="159.32999999999998"/>
  </r>
  <r>
    <d v="2022-09-15T00:00:00"/>
    <x v="8"/>
    <x v="17"/>
    <x v="1"/>
    <x v="8"/>
    <n v="15"/>
    <x v="0"/>
    <n v="1005"/>
    <n v="1286.4000000000001"/>
  </r>
  <r>
    <d v="2022-09-18T00:00:00"/>
    <x v="8"/>
    <x v="7"/>
    <x v="1"/>
    <x v="42"/>
    <n v="14"/>
    <x v="1"/>
    <n v="252"/>
    <n v="345.24"/>
  </r>
  <r>
    <d v="2022-09-19T00:00:00"/>
    <x v="8"/>
    <x v="8"/>
    <x v="1"/>
    <x v="38"/>
    <n v="8"/>
    <x v="1"/>
    <n v="760"/>
    <n v="957.6"/>
  </r>
  <r>
    <d v="2022-09-20T00:00:00"/>
    <x v="8"/>
    <x v="9"/>
    <x v="1"/>
    <x v="38"/>
    <n v="6"/>
    <x v="0"/>
    <n v="570"/>
    <n v="718.2"/>
  </r>
  <r>
    <d v="2022-09-20T00:00:00"/>
    <x v="8"/>
    <x v="9"/>
    <x v="1"/>
    <x v="16"/>
    <n v="10"/>
    <x v="0"/>
    <n v="980"/>
    <n v="1038.8"/>
  </r>
  <r>
    <d v="2022-09-21T00:00:00"/>
    <x v="8"/>
    <x v="10"/>
    <x v="1"/>
    <x v="30"/>
    <n v="14"/>
    <x v="0"/>
    <n v="518"/>
    <n v="688.94"/>
  </r>
  <r>
    <d v="2022-09-21T00:00:00"/>
    <x v="8"/>
    <x v="10"/>
    <x v="1"/>
    <x v="42"/>
    <n v="5"/>
    <x v="1"/>
    <n v="90"/>
    <n v="123.3"/>
  </r>
  <r>
    <d v="2022-09-22T00:00:00"/>
    <x v="8"/>
    <x v="18"/>
    <x v="1"/>
    <x v="23"/>
    <n v="12"/>
    <x v="0"/>
    <n v="804"/>
    <n v="996.96"/>
  </r>
  <r>
    <d v="2022-09-23T00:00:00"/>
    <x v="8"/>
    <x v="19"/>
    <x v="1"/>
    <x v="35"/>
    <n v="12"/>
    <x v="0"/>
    <n v="876"/>
    <n v="1130.04"/>
  </r>
  <r>
    <d v="2022-09-24T00:00:00"/>
    <x v="8"/>
    <x v="27"/>
    <x v="1"/>
    <x v="18"/>
    <n v="14"/>
    <x v="0"/>
    <n v="1246"/>
    <n v="1644.72"/>
  </r>
  <r>
    <d v="2022-09-24T00:00:00"/>
    <x v="8"/>
    <x v="27"/>
    <x v="1"/>
    <x v="18"/>
    <n v="8"/>
    <x v="1"/>
    <n v="712"/>
    <n v="939.84"/>
  </r>
  <r>
    <d v="2022-09-27T00:00:00"/>
    <x v="8"/>
    <x v="13"/>
    <x v="1"/>
    <x v="43"/>
    <n v="4"/>
    <x v="1"/>
    <n v="360"/>
    <n v="385.2"/>
  </r>
  <r>
    <d v="2022-09-27T00:00:00"/>
    <x v="8"/>
    <x v="13"/>
    <x v="1"/>
    <x v="11"/>
    <n v="9"/>
    <x v="1"/>
    <n v="684"/>
    <n v="738.72"/>
  </r>
  <r>
    <d v="2022-09-27T00:00:00"/>
    <x v="8"/>
    <x v="13"/>
    <x v="1"/>
    <x v="1"/>
    <n v="3"/>
    <x v="1"/>
    <n v="216"/>
    <n v="239.76"/>
  </r>
  <r>
    <d v="2022-09-29T00:00:00"/>
    <x v="8"/>
    <x v="28"/>
    <x v="1"/>
    <x v="13"/>
    <n v="13"/>
    <x v="0"/>
    <n v="715"/>
    <n v="757.9"/>
  </r>
  <r>
    <d v="2022-10-03T00:00:00"/>
    <x v="9"/>
    <x v="2"/>
    <x v="1"/>
    <x v="31"/>
    <n v="5"/>
    <x v="1"/>
    <n v="220"/>
    <n v="242"/>
  </r>
  <r>
    <d v="2022-10-04T00:00:00"/>
    <x v="9"/>
    <x v="3"/>
    <x v="1"/>
    <x v="36"/>
    <n v="15"/>
    <x v="0"/>
    <n v="645"/>
    <n v="715.95"/>
  </r>
  <r>
    <d v="2022-10-06T00:00:00"/>
    <x v="9"/>
    <x v="16"/>
    <x v="1"/>
    <x v="4"/>
    <n v="1"/>
    <x v="0"/>
    <n v="5"/>
    <n v="6.7"/>
  </r>
  <r>
    <d v="2022-10-09T00:00:00"/>
    <x v="9"/>
    <x v="4"/>
    <x v="1"/>
    <x v="1"/>
    <n v="14"/>
    <x v="0"/>
    <n v="1008"/>
    <n v="1118.8800000000001"/>
  </r>
  <r>
    <d v="2022-10-10T00:00:00"/>
    <x v="9"/>
    <x v="26"/>
    <x v="1"/>
    <x v="40"/>
    <n v="9"/>
    <x v="0"/>
    <n v="1350"/>
    <n v="1890"/>
  </r>
  <r>
    <d v="2022-10-10T00:00:00"/>
    <x v="9"/>
    <x v="26"/>
    <x v="1"/>
    <x v="11"/>
    <n v="12"/>
    <x v="0"/>
    <n v="912"/>
    <n v="984.96"/>
  </r>
  <r>
    <d v="2022-10-11T00:00:00"/>
    <x v="9"/>
    <x v="5"/>
    <x v="1"/>
    <x v="25"/>
    <n v="10"/>
    <x v="0"/>
    <n v="830"/>
    <n v="946.2"/>
  </r>
  <r>
    <d v="2022-10-13T00:00:00"/>
    <x v="9"/>
    <x v="22"/>
    <x v="1"/>
    <x v="29"/>
    <n v="15"/>
    <x v="0"/>
    <n v="1575"/>
    <n v="2142"/>
  </r>
  <r>
    <d v="2022-10-14T00:00:00"/>
    <x v="9"/>
    <x v="29"/>
    <x v="1"/>
    <x v="11"/>
    <n v="15"/>
    <x v="0"/>
    <n v="1140"/>
    <n v="1231.2"/>
  </r>
  <r>
    <d v="2022-10-15T00:00:00"/>
    <x v="9"/>
    <x v="17"/>
    <x v="1"/>
    <x v="27"/>
    <n v="10"/>
    <x v="1"/>
    <n v="120"/>
    <n v="157.19999999999999"/>
  </r>
  <r>
    <d v="2022-10-16T00:00:00"/>
    <x v="9"/>
    <x v="23"/>
    <x v="1"/>
    <x v="43"/>
    <n v="3"/>
    <x v="0"/>
    <n v="270"/>
    <n v="288.89999999999998"/>
  </r>
  <r>
    <d v="2022-10-23T00:00:00"/>
    <x v="9"/>
    <x v="19"/>
    <x v="1"/>
    <x v="0"/>
    <n v="14"/>
    <x v="1"/>
    <n v="2016"/>
    <n v="2197.44"/>
  </r>
  <r>
    <d v="2022-10-30T00:00:00"/>
    <x v="9"/>
    <x v="24"/>
    <x v="1"/>
    <x v="10"/>
    <n v="3"/>
    <x v="1"/>
    <n v="360"/>
    <n v="486"/>
  </r>
  <r>
    <d v="2022-10-31T00:00:00"/>
    <x v="9"/>
    <x v="25"/>
    <x v="1"/>
    <x v="1"/>
    <n v="8"/>
    <x v="0"/>
    <n v="576"/>
    <n v="639.36"/>
  </r>
  <r>
    <d v="2022-11-01T00:00:00"/>
    <x v="10"/>
    <x v="0"/>
    <x v="1"/>
    <x v="35"/>
    <n v="15"/>
    <x v="0"/>
    <n v="1095"/>
    <n v="1412.55"/>
  </r>
  <r>
    <d v="2022-11-02T00:00:00"/>
    <x v="10"/>
    <x v="1"/>
    <x v="1"/>
    <x v="27"/>
    <n v="15"/>
    <x v="1"/>
    <n v="180"/>
    <n v="235.79999999999998"/>
  </r>
  <r>
    <d v="2022-11-02T00:00:00"/>
    <x v="10"/>
    <x v="1"/>
    <x v="1"/>
    <x v="28"/>
    <n v="15"/>
    <x v="1"/>
    <n v="2220"/>
    <n v="3019.2"/>
  </r>
  <r>
    <d v="2022-11-02T00:00:00"/>
    <x v="10"/>
    <x v="1"/>
    <x v="1"/>
    <x v="4"/>
    <n v="5"/>
    <x v="1"/>
    <n v="25"/>
    <n v="33.5"/>
  </r>
  <r>
    <d v="2022-11-03T00:00:00"/>
    <x v="10"/>
    <x v="2"/>
    <x v="1"/>
    <x v="14"/>
    <n v="11"/>
    <x v="0"/>
    <n v="671"/>
    <n v="838.75"/>
  </r>
  <r>
    <d v="2022-11-04T00:00:00"/>
    <x v="10"/>
    <x v="3"/>
    <x v="1"/>
    <x v="25"/>
    <n v="10"/>
    <x v="0"/>
    <n v="830"/>
    <n v="946.2"/>
  </r>
  <r>
    <d v="2022-11-05T00:00:00"/>
    <x v="10"/>
    <x v="15"/>
    <x v="1"/>
    <x v="40"/>
    <n v="15"/>
    <x v="1"/>
    <n v="2250"/>
    <n v="3150"/>
  </r>
  <r>
    <d v="2022-11-06T00:00:00"/>
    <x v="10"/>
    <x v="16"/>
    <x v="1"/>
    <x v="23"/>
    <n v="13"/>
    <x v="1"/>
    <n v="871"/>
    <n v="1080.04"/>
  </r>
  <r>
    <d v="2022-11-06T00:00:00"/>
    <x v="10"/>
    <x v="16"/>
    <x v="1"/>
    <x v="27"/>
    <n v="13"/>
    <x v="0"/>
    <n v="156"/>
    <n v="204.35999999999999"/>
  </r>
  <r>
    <d v="2022-11-06T00:00:00"/>
    <x v="10"/>
    <x v="16"/>
    <x v="1"/>
    <x v="10"/>
    <n v="13"/>
    <x v="1"/>
    <n v="1560"/>
    <n v="2106"/>
  </r>
  <r>
    <d v="2022-11-07T00:00:00"/>
    <x v="10"/>
    <x v="20"/>
    <x v="1"/>
    <x v="17"/>
    <n v="13"/>
    <x v="1"/>
    <n v="1170"/>
    <n v="1497.6000000000001"/>
  </r>
  <r>
    <d v="2022-11-08T00:00:00"/>
    <x v="10"/>
    <x v="21"/>
    <x v="1"/>
    <x v="43"/>
    <n v="11"/>
    <x v="1"/>
    <n v="990"/>
    <n v="1059.3"/>
  </r>
  <r>
    <d v="2022-11-08T00:00:00"/>
    <x v="10"/>
    <x v="21"/>
    <x v="1"/>
    <x v="40"/>
    <n v="10"/>
    <x v="0"/>
    <n v="1500"/>
    <n v="2100"/>
  </r>
  <r>
    <d v="2022-11-09T00:00:00"/>
    <x v="10"/>
    <x v="4"/>
    <x v="1"/>
    <x v="26"/>
    <n v="8"/>
    <x v="1"/>
    <n v="384"/>
    <n v="456.96000000000004"/>
  </r>
  <r>
    <d v="2022-11-10T00:00:00"/>
    <x v="10"/>
    <x v="26"/>
    <x v="1"/>
    <x v="30"/>
    <n v="7"/>
    <x v="0"/>
    <n v="259"/>
    <n v="344.47"/>
  </r>
  <r>
    <d v="2022-11-13T00:00:00"/>
    <x v="10"/>
    <x v="22"/>
    <x v="1"/>
    <x v="26"/>
    <n v="10"/>
    <x v="1"/>
    <n v="480"/>
    <n v="571.20000000000005"/>
  </r>
  <r>
    <d v="2022-11-14T00:00:00"/>
    <x v="10"/>
    <x v="29"/>
    <x v="1"/>
    <x v="29"/>
    <n v="1"/>
    <x v="1"/>
    <n v="105"/>
    <n v="142.80000000000001"/>
  </r>
  <r>
    <d v="2022-11-15T00:00:00"/>
    <x v="10"/>
    <x v="17"/>
    <x v="1"/>
    <x v="35"/>
    <n v="14"/>
    <x v="1"/>
    <n v="1022"/>
    <n v="1318.38"/>
  </r>
  <r>
    <d v="2022-11-16T00:00:00"/>
    <x v="10"/>
    <x v="23"/>
    <x v="1"/>
    <x v="39"/>
    <n v="8"/>
    <x v="0"/>
    <n v="1072"/>
    <n v="1254.24"/>
  </r>
  <r>
    <d v="2022-11-18T00:00:00"/>
    <x v="10"/>
    <x v="7"/>
    <x v="1"/>
    <x v="13"/>
    <n v="8"/>
    <x v="1"/>
    <n v="440"/>
    <n v="466.4"/>
  </r>
  <r>
    <d v="2022-11-21T00:00:00"/>
    <x v="10"/>
    <x v="10"/>
    <x v="1"/>
    <x v="14"/>
    <n v="6"/>
    <x v="1"/>
    <n v="366"/>
    <n v="457.5"/>
  </r>
  <r>
    <d v="2022-11-23T00:00:00"/>
    <x v="10"/>
    <x v="19"/>
    <x v="1"/>
    <x v="43"/>
    <n v="12"/>
    <x v="0"/>
    <n v="1080"/>
    <n v="1155.5999999999999"/>
  </r>
  <r>
    <d v="2022-11-25T00:00:00"/>
    <x v="10"/>
    <x v="11"/>
    <x v="1"/>
    <x v="3"/>
    <n v="5"/>
    <x v="1"/>
    <n v="220"/>
    <n v="244.20000000000002"/>
  </r>
  <r>
    <d v="2022-11-26T00:00:00"/>
    <x v="10"/>
    <x v="12"/>
    <x v="1"/>
    <x v="18"/>
    <n v="5"/>
    <x v="0"/>
    <n v="445"/>
    <n v="587.4"/>
  </r>
  <r>
    <d v="2022-11-27T00:00:00"/>
    <x v="10"/>
    <x v="13"/>
    <x v="1"/>
    <x v="13"/>
    <n v="15"/>
    <x v="0"/>
    <n v="825"/>
    <n v="874.5"/>
  </r>
  <r>
    <d v="2022-11-28T00:00:00"/>
    <x v="10"/>
    <x v="14"/>
    <x v="1"/>
    <x v="5"/>
    <n v="8"/>
    <x v="1"/>
    <n v="744"/>
    <n v="833.28"/>
  </r>
  <r>
    <d v="2022-11-30T00:00:00"/>
    <x v="10"/>
    <x v="24"/>
    <x v="1"/>
    <x v="27"/>
    <n v="2"/>
    <x v="0"/>
    <n v="24"/>
    <n v="31.439999999999998"/>
  </r>
  <r>
    <d v="2022-12-03T00:00:00"/>
    <x v="11"/>
    <x v="2"/>
    <x v="1"/>
    <x v="33"/>
    <n v="5"/>
    <x v="1"/>
    <n v="185"/>
    <n v="209.05"/>
  </r>
  <r>
    <d v="2022-12-04T00:00:00"/>
    <x v="11"/>
    <x v="3"/>
    <x v="1"/>
    <x v="42"/>
    <n v="10"/>
    <x v="1"/>
    <n v="180"/>
    <n v="246.6"/>
  </r>
  <r>
    <d v="2022-12-04T00:00:00"/>
    <x v="11"/>
    <x v="3"/>
    <x v="1"/>
    <x v="11"/>
    <n v="15"/>
    <x v="1"/>
    <n v="1140"/>
    <n v="1231.2"/>
  </r>
  <r>
    <d v="2022-12-07T00:00:00"/>
    <x v="11"/>
    <x v="20"/>
    <x v="1"/>
    <x v="1"/>
    <n v="12"/>
    <x v="1"/>
    <n v="864"/>
    <n v="959.04"/>
  </r>
  <r>
    <d v="2022-12-07T00:00:00"/>
    <x v="11"/>
    <x v="20"/>
    <x v="1"/>
    <x v="21"/>
    <n v="13"/>
    <x v="0"/>
    <n v="169"/>
    <n v="216.32"/>
  </r>
  <r>
    <d v="2022-12-07T00:00:00"/>
    <x v="11"/>
    <x v="20"/>
    <x v="1"/>
    <x v="1"/>
    <n v="5"/>
    <x v="1"/>
    <n v="360"/>
    <n v="399.6"/>
  </r>
  <r>
    <d v="2022-12-11T00:00:00"/>
    <x v="11"/>
    <x v="5"/>
    <x v="1"/>
    <x v="26"/>
    <n v="5"/>
    <x v="0"/>
    <n v="240"/>
    <n v="285.60000000000002"/>
  </r>
  <r>
    <d v="2022-12-11T00:00:00"/>
    <x v="11"/>
    <x v="5"/>
    <x v="1"/>
    <x v="2"/>
    <n v="9"/>
    <x v="0"/>
    <n v="1008"/>
    <n v="1098.72"/>
  </r>
  <r>
    <d v="2022-12-11T00:00:00"/>
    <x v="11"/>
    <x v="5"/>
    <x v="1"/>
    <x v="9"/>
    <n v="10"/>
    <x v="1"/>
    <n v="1120"/>
    <n v="1467.2"/>
  </r>
  <r>
    <d v="2022-12-12T00:00:00"/>
    <x v="11"/>
    <x v="6"/>
    <x v="1"/>
    <x v="28"/>
    <n v="9"/>
    <x v="1"/>
    <n v="1332"/>
    <n v="1811.52"/>
  </r>
  <r>
    <d v="2022-12-12T00:00:00"/>
    <x v="11"/>
    <x v="6"/>
    <x v="1"/>
    <x v="41"/>
    <n v="10"/>
    <x v="0"/>
    <n v="1380"/>
    <n v="1738.8"/>
  </r>
  <r>
    <d v="2022-12-14T00:00:00"/>
    <x v="11"/>
    <x v="29"/>
    <x v="1"/>
    <x v="24"/>
    <n v="4"/>
    <x v="1"/>
    <n v="532"/>
    <n v="622.44000000000005"/>
  </r>
  <r>
    <d v="2022-12-15T00:00:00"/>
    <x v="11"/>
    <x v="17"/>
    <x v="1"/>
    <x v="37"/>
    <n v="13"/>
    <x v="0"/>
    <n v="78"/>
    <n v="102.17999999999999"/>
  </r>
  <r>
    <d v="2022-12-19T00:00:00"/>
    <x v="11"/>
    <x v="8"/>
    <x v="1"/>
    <x v="11"/>
    <n v="7"/>
    <x v="0"/>
    <n v="532"/>
    <n v="574.55999999999995"/>
  </r>
  <r>
    <d v="2022-12-19T00:00:00"/>
    <x v="11"/>
    <x v="8"/>
    <x v="1"/>
    <x v="31"/>
    <n v="14"/>
    <x v="1"/>
    <n v="616"/>
    <n v="677.6"/>
  </r>
  <r>
    <d v="2022-12-19T00:00:00"/>
    <x v="11"/>
    <x v="8"/>
    <x v="1"/>
    <x v="37"/>
    <n v="11"/>
    <x v="0"/>
    <n v="66"/>
    <n v="86.46"/>
  </r>
  <r>
    <d v="2022-12-21T00:00:00"/>
    <x v="11"/>
    <x v="10"/>
    <x v="1"/>
    <x v="15"/>
    <n v="10"/>
    <x v="0"/>
    <n v="750"/>
    <n v="855"/>
  </r>
  <r>
    <d v="2022-12-29T00:00:00"/>
    <x v="11"/>
    <x v="28"/>
    <x v="1"/>
    <x v="25"/>
    <n v="15"/>
    <x v="0"/>
    <n v="1245"/>
    <n v="1419.3000000000002"/>
  </r>
  <r>
    <d v="2022-12-29T00:00:00"/>
    <x v="11"/>
    <x v="28"/>
    <x v="1"/>
    <x v="10"/>
    <n v="1"/>
    <x v="1"/>
    <n v="120"/>
    <n v="162"/>
  </r>
  <r>
    <d v="2022-12-30T00:00:00"/>
    <x v="11"/>
    <x v="24"/>
    <x v="1"/>
    <x v="41"/>
    <n v="14"/>
    <x v="0"/>
    <n v="1932"/>
    <n v="2434.3199999999997"/>
  </r>
  <r>
    <d v="2022-12-31T00:00:00"/>
    <x v="11"/>
    <x v="25"/>
    <x v="1"/>
    <x v="38"/>
    <n v="12"/>
    <x v="0"/>
    <n v="1140"/>
    <n v="1436.4"/>
  </r>
  <r>
    <d v="2022-12-31T00:00:00"/>
    <x v="11"/>
    <x v="25"/>
    <x v="1"/>
    <x v="31"/>
    <n v="6"/>
    <x v="0"/>
    <n v="264"/>
    <n v="290.39999999999998"/>
  </r>
  <r>
    <d v="2022-12-31T00:00:00"/>
    <x v="11"/>
    <x v="25"/>
    <x v="1"/>
    <x v="31"/>
    <n v="3"/>
    <x v="1"/>
    <n v="132"/>
    <n v="145.1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D2A0C3-55F9-4E1C-A7B4-52E484BC02FF}" name="Top 5 Product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4:N10"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axis="axisRow" showAll="0" measureFilter="1">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pivotField showAll="0"/>
    <pivotField dataField="1" showAll="0"/>
  </pivotFields>
  <rowFields count="1">
    <field x="4"/>
  </rowFields>
  <rowItems count="6">
    <i>
      <x v="9"/>
    </i>
    <i>
      <x v="18"/>
    </i>
    <i>
      <x v="29"/>
    </i>
    <i>
      <x v="40"/>
    </i>
    <i>
      <x v="41"/>
    </i>
    <i t="grand">
      <x/>
    </i>
  </rowItems>
  <colItems count="1">
    <i/>
  </colItems>
  <dataFields count="1">
    <dataField name="Sum of Total Selling Price" fld="8" baseField="0" baseItem="0"/>
  </dataField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555C3-4F31-4494-8294-3DB40AA876D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25:F28"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axis="axisRow" showAll="0">
      <items count="3">
        <item x="0"/>
        <item x="1"/>
        <item t="default"/>
      </items>
    </pivotField>
    <pivotField showAll="0" measureFilter="1">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items count="3">
        <item x="1"/>
        <item x="0"/>
        <item t="default"/>
      </items>
    </pivotField>
    <pivotField showAll="0"/>
    <pivotField dataField="1" showAll="0"/>
  </pivotFields>
  <rowFields count="1">
    <field x="3"/>
  </rowFields>
  <rowItems count="3">
    <i>
      <x/>
    </i>
    <i>
      <x v="1"/>
    </i>
    <i t="grand">
      <x/>
    </i>
  </rowItems>
  <colItems count="1">
    <i/>
  </colItems>
  <dataFields count="1">
    <dataField name="Sum of Total Selling Price" fld="8" baseField="0" baseItem="0"/>
  </dataFields>
  <chartFormats count="5">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51307-FF84-41F6-A6FA-73D44FF7ADD7}" name="Month wise sales vs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6" firstHeaderRow="0" firstDataRow="1" firstDataCol="1"/>
  <pivotFields count="9">
    <pivotField numFmtId="14" showAll="0"/>
    <pivotField axis="axisRow"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Buying Price" fld="7" baseField="0" baseItem="0"/>
    <dataField name="Sum of Total Selling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80BE15-CB0B-45EC-8E6B-6138AABC01C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12:K44" firstHeaderRow="1" firstDataRow="1" firstDataCol="1"/>
  <pivotFields count="9">
    <pivotField numFmtId="14" showAll="0"/>
    <pivotField showAll="0">
      <items count="13">
        <item x="0"/>
        <item x="1"/>
        <item x="2"/>
        <item x="3"/>
        <item x="4"/>
        <item x="5"/>
        <item x="6"/>
        <item x="7"/>
        <item x="8"/>
        <item x="9"/>
        <item x="10"/>
        <item x="11"/>
        <item t="default"/>
      </items>
    </pivotField>
    <pivotField axis="axisRow" showAll="0" sortType="ascending">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3">
        <item x="0"/>
        <item x="1"/>
        <item t="default"/>
      </items>
    </pivotField>
    <pivotField showAll="0" measureFilter="1"/>
    <pivotField showAll="0"/>
    <pivotField showAll="0"/>
    <pivotField showAll="0"/>
    <pivotField dataFiel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Selling Price" fld="8" baseField="0" baseItem="0"/>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83051-4369-4D76-AC87-F274EF341710}" name="Top 1 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K5"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axis="axisRow" showAll="0" measureFilter="1">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pivotField showAll="0"/>
    <pivotField dataField="1" showAll="0"/>
  </pivotFields>
  <rowFields count="1">
    <field x="4"/>
  </rowFields>
  <rowItems count="2">
    <i>
      <x v="40"/>
    </i>
    <i t="grand">
      <x/>
    </i>
  </rowItems>
  <colItems count="1">
    <i/>
  </colItems>
  <dataFields count="1">
    <dataField name="Sum of Total Selling Price" fld="8" baseField="0" baseItem="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A5FEB-8F5F-4303-A8B7-D22FD171D966}" name="Paymet Mode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18:F21" firstHeaderRow="1" firstDataRow="1" firstDataCol="1"/>
  <pivotFields count="9">
    <pivotField numFmtId="14"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measureFilter="1">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axis="axisRow" showAll="0">
      <items count="3">
        <item x="1"/>
        <item x="0"/>
        <item t="default"/>
      </items>
    </pivotField>
    <pivotField showAll="0"/>
    <pivotField dataField="1" showAll="0"/>
  </pivotFields>
  <rowFields count="1">
    <field x="6"/>
  </rowFields>
  <rowItems count="3">
    <i>
      <x/>
    </i>
    <i>
      <x v="1"/>
    </i>
    <i t="grand">
      <x/>
    </i>
  </rowItems>
  <colItems count="1">
    <i/>
  </colItems>
  <dataFields count="1">
    <dataField name="Sum of Total Selling Price" fld="8"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894C39-7C3B-4127-98CB-36982B81ECDE}" name="Total Q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A26" firstHeaderRow="1" firstDataRow="1" firstDataCol="0"/>
  <pivotFields count="9">
    <pivotField numFmtId="14"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dataField="1"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9A9B8A-DCD7-4B7E-9F64-B741FA1549A3}" name="Total selling pri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B21" firstHeaderRow="0" firstDataRow="1" firstDataCol="0"/>
  <pivotFields count="9">
    <pivotField numFmtId="14" showAll="0"/>
    <pivotField showAll="0">
      <items count="13">
        <item x="0"/>
        <item x="1"/>
        <item x="2"/>
        <item x="3"/>
        <item x="4"/>
        <item x="5"/>
        <item x="6"/>
        <item x="7"/>
        <item x="8"/>
        <item x="9"/>
        <item x="10"/>
        <item x="11"/>
        <item t="default"/>
      </items>
    </pivotField>
    <pivotField showAll="0"/>
    <pivotField showAll="0">
      <items count="3">
        <item x="0"/>
        <item x="1"/>
        <item t="default"/>
      </items>
    </pivotField>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Total Selling Price" fld="8" baseField="0" baseItem="0"/>
    <dataField name="Sum of Total Buy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0256D06-E035-4B55-A416-ECC9358E582C}" sourceName="Month">
  <pivotTables>
    <pivotTable tabId="4" name="Month wise sales vs Profit"/>
    <pivotTable tabId="4" name="Total selling price"/>
    <pivotTable tabId="4" name="Total Qty"/>
    <pivotTable tabId="4" name="Top 1 Product"/>
    <pivotTable tabId="4" name="PivotTable3"/>
    <pivotTable tabId="4" name="Paymet Mode %"/>
    <pivotTable tabId="4" name="PivotTable5"/>
    <pivotTable tabId="4" name="Top 5 Product "/>
  </pivotTables>
  <data>
    <tabular pivotCacheId="51284972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C502DB-2B2F-4575-B276-A8A4A6ACD8A4}" sourceName="Year">
  <pivotTables>
    <pivotTable tabId="4" name="Month wise sales vs Profit"/>
    <pivotTable tabId="4" name="Total selling price"/>
    <pivotTable tabId="4" name="Total Qty"/>
    <pivotTable tabId="4" name="Top 1 Product"/>
    <pivotTable tabId="4" name="PivotTable3"/>
    <pivotTable tabId="4" name="Paymet Mode %"/>
    <pivotTable tabId="4" name="PivotTable5"/>
    <pivotTable tabId="4" name="Top 5 Product "/>
  </pivotTables>
  <data>
    <tabular pivotCacheId="5128497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565CA54-4634-452F-9B52-516CA21E3510}" cache="Slicer_Month" caption="Month" style="SlicerStyleOther2" rowHeight="234950"/>
  <slicer name="Year" xr10:uid="{E35563F6-006F-4A30-9EB4-25FC25268638}" cache="Slicer_Year" caption="Yea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CADF-B970-474F-BA23-9460028E0814}">
  <sheetPr>
    <tabColor rgb="FF0070C0"/>
  </sheetPr>
  <dimension ref="A1:L528"/>
  <sheetViews>
    <sheetView workbookViewId="0">
      <selection activeCell="K11" sqref="K11"/>
    </sheetView>
  </sheetViews>
  <sheetFormatPr defaultColWidth="8.77734375" defaultRowHeight="14.4" x14ac:dyDescent="0.3"/>
  <cols>
    <col min="1" max="1" width="10.33203125" style="4" customWidth="1"/>
    <col min="2" max="4" width="10" style="4" customWidth="1"/>
    <col min="5" max="5" width="14.33203125" style="4" customWidth="1"/>
    <col min="6" max="6" width="11.77734375" style="4" customWidth="1"/>
    <col min="7" max="7" width="18.77734375" style="4" customWidth="1"/>
    <col min="8" max="8" width="17.88671875" style="4" customWidth="1"/>
    <col min="9" max="9" width="17.5546875" style="4" customWidth="1"/>
    <col min="10" max="11" width="8.77734375" style="4"/>
    <col min="12" max="12" width="41.21875" style="5" customWidth="1"/>
    <col min="13" max="16384" width="8.77734375" style="4"/>
  </cols>
  <sheetData>
    <row r="1" spans="1:12" x14ac:dyDescent="0.3">
      <c r="A1" s="3" t="s">
        <v>105</v>
      </c>
      <c r="B1" s="3" t="s">
        <v>106</v>
      </c>
      <c r="C1" s="3" t="s">
        <v>107</v>
      </c>
      <c r="D1" s="3" t="s">
        <v>108</v>
      </c>
      <c r="E1" s="3" t="s">
        <v>0</v>
      </c>
      <c r="F1" s="3" t="s">
        <v>109</v>
      </c>
      <c r="G1" s="3" t="s">
        <v>110</v>
      </c>
      <c r="H1" s="3" t="s">
        <v>111</v>
      </c>
      <c r="I1" s="3" t="s">
        <v>112</v>
      </c>
    </row>
    <row r="2" spans="1:12" x14ac:dyDescent="0.3">
      <c r="A2" s="6">
        <v>44197</v>
      </c>
      <c r="B2" s="6" t="s">
        <v>113</v>
      </c>
      <c r="C2" s="16">
        <v>1</v>
      </c>
      <c r="D2" s="6" t="s">
        <v>114</v>
      </c>
      <c r="E2" s="7" t="s">
        <v>59</v>
      </c>
      <c r="F2" s="8">
        <v>9</v>
      </c>
      <c r="G2" s="8" t="s">
        <v>115</v>
      </c>
      <c r="H2" s="8">
        <f>VLOOKUP($E2,'[1]Master File'!$A:$F,5,0)*$F2</f>
        <v>1296</v>
      </c>
      <c r="I2" s="8">
        <f>VLOOKUP($E2,'[1]Master File'!$A:$F,6,0)*$F2</f>
        <v>1412.64</v>
      </c>
      <c r="L2" s="5" t="s">
        <v>116</v>
      </c>
    </row>
    <row r="3" spans="1:12" x14ac:dyDescent="0.3">
      <c r="A3" s="6">
        <v>44198</v>
      </c>
      <c r="B3" s="6" t="s">
        <v>113</v>
      </c>
      <c r="C3" s="16">
        <v>2</v>
      </c>
      <c r="D3" s="6" t="s">
        <v>114</v>
      </c>
      <c r="E3" s="7" t="s">
        <v>89</v>
      </c>
      <c r="F3" s="8">
        <v>15</v>
      </c>
      <c r="G3" s="8" t="s">
        <v>117</v>
      </c>
      <c r="H3" s="8">
        <f>VLOOKUP(E3,'[1]Master File'!$A:$F,5,0)*F3</f>
        <v>1080</v>
      </c>
      <c r="I3" s="8">
        <f>VLOOKUP($E3,'[1]Master File'!$A:$F,6,0)*$F3</f>
        <v>1198.8</v>
      </c>
      <c r="L3" s="5" t="s">
        <v>118</v>
      </c>
    </row>
    <row r="4" spans="1:12" x14ac:dyDescent="0.3">
      <c r="A4" s="6">
        <v>44198</v>
      </c>
      <c r="B4" s="6" t="s">
        <v>113</v>
      </c>
      <c r="C4" s="16">
        <v>2</v>
      </c>
      <c r="D4" s="6" t="s">
        <v>114</v>
      </c>
      <c r="E4" s="7" t="s">
        <v>36</v>
      </c>
      <c r="F4" s="8">
        <v>6</v>
      </c>
      <c r="G4" s="8" t="s">
        <v>117</v>
      </c>
      <c r="H4" s="8">
        <f>VLOOKUP(E4,'[1]Master File'!$A:$F,5,0)*F4</f>
        <v>672</v>
      </c>
      <c r="I4" s="8">
        <f>VLOOKUP($E4,'[1]Master File'!$A:$F,6,0)*$F4</f>
        <v>732.48</v>
      </c>
      <c r="L4" s="5" t="s">
        <v>119</v>
      </c>
    </row>
    <row r="5" spans="1:12" x14ac:dyDescent="0.3">
      <c r="A5" s="6">
        <v>44199</v>
      </c>
      <c r="B5" s="6" t="s">
        <v>113</v>
      </c>
      <c r="C5" s="16">
        <v>3</v>
      </c>
      <c r="D5" s="6" t="s">
        <v>114</v>
      </c>
      <c r="E5" s="7" t="s">
        <v>14</v>
      </c>
      <c r="F5" s="8">
        <v>5</v>
      </c>
      <c r="G5" s="8" t="s">
        <v>115</v>
      </c>
      <c r="H5" s="8">
        <f>VLOOKUP(E5,'[1]Master File'!$A:$F,5,0)*F5</f>
        <v>220</v>
      </c>
      <c r="I5" s="8">
        <f>VLOOKUP($E5,'[1]Master File'!$A:$F,6,0)*$F5</f>
        <v>244.20000000000002</v>
      </c>
      <c r="L5" s="5" t="s">
        <v>120</v>
      </c>
    </row>
    <row r="6" spans="1:12" x14ac:dyDescent="0.3">
      <c r="A6" s="6">
        <v>44200</v>
      </c>
      <c r="B6" s="6" t="s">
        <v>113</v>
      </c>
      <c r="C6" s="16">
        <v>4</v>
      </c>
      <c r="D6" s="6" t="s">
        <v>114</v>
      </c>
      <c r="E6" s="7" t="s">
        <v>82</v>
      </c>
      <c r="F6" s="8">
        <v>12</v>
      </c>
      <c r="G6" s="8" t="s">
        <v>115</v>
      </c>
      <c r="H6" s="8">
        <f>VLOOKUP(E6,'[1]Master File'!$A:$F,5,0)*F6</f>
        <v>60</v>
      </c>
      <c r="I6" s="8">
        <f>VLOOKUP($E6,'[1]Master File'!$A:$F,6,0)*$F6</f>
        <v>80.400000000000006</v>
      </c>
      <c r="L6" s="5" t="s">
        <v>121</v>
      </c>
    </row>
    <row r="7" spans="1:12" x14ac:dyDescent="0.3">
      <c r="A7" s="6">
        <v>44205</v>
      </c>
      <c r="B7" s="6" t="s">
        <v>113</v>
      </c>
      <c r="C7" s="16">
        <v>9</v>
      </c>
      <c r="D7" s="6" t="s">
        <v>114</v>
      </c>
      <c r="E7" s="7" t="s">
        <v>74</v>
      </c>
      <c r="F7" s="8">
        <v>1</v>
      </c>
      <c r="G7" s="8" t="s">
        <v>117</v>
      </c>
      <c r="H7" s="8">
        <f>VLOOKUP(E7,'[1]Master File'!$A:$F,5,0)*F7</f>
        <v>93</v>
      </c>
      <c r="I7" s="8">
        <f>VLOOKUP($E7,'[1]Master File'!$A:$F,6,0)*$F7</f>
        <v>104.16</v>
      </c>
    </row>
    <row r="8" spans="1:12" x14ac:dyDescent="0.3">
      <c r="A8" s="6">
        <v>44205</v>
      </c>
      <c r="B8" s="6" t="s">
        <v>113</v>
      </c>
      <c r="C8" s="16">
        <v>9</v>
      </c>
      <c r="D8" s="6" t="s">
        <v>114</v>
      </c>
      <c r="E8" s="7" t="s">
        <v>12</v>
      </c>
      <c r="F8" s="8">
        <v>8</v>
      </c>
      <c r="G8" s="8" t="s">
        <v>117</v>
      </c>
      <c r="H8" s="8">
        <f>VLOOKUP(E8,'[1]Master File'!$A:$F,5,0)*F8</f>
        <v>568</v>
      </c>
      <c r="I8" s="8">
        <f>VLOOKUP($E8,'[1]Master File'!$A:$F,6,0)*$F8</f>
        <v>647.52</v>
      </c>
      <c r="L8" s="5" t="s">
        <v>122</v>
      </c>
    </row>
    <row r="9" spans="1:12" x14ac:dyDescent="0.3">
      <c r="A9" s="6">
        <v>44205</v>
      </c>
      <c r="B9" s="6" t="s">
        <v>113</v>
      </c>
      <c r="C9" s="16">
        <v>9</v>
      </c>
      <c r="D9" s="6" t="s">
        <v>114</v>
      </c>
      <c r="E9" s="7" t="s">
        <v>61</v>
      </c>
      <c r="F9" s="8">
        <v>4</v>
      </c>
      <c r="G9" s="8" t="s">
        <v>115</v>
      </c>
      <c r="H9" s="8">
        <f>VLOOKUP(E9,'[1]Master File'!$A:$F,5,0)*F9</f>
        <v>28</v>
      </c>
      <c r="I9" s="8">
        <f>VLOOKUP($E9,'[1]Master File'!$A:$F,6,0)*$F9</f>
        <v>33.32</v>
      </c>
      <c r="L9" s="5" t="s">
        <v>123</v>
      </c>
    </row>
    <row r="10" spans="1:12" x14ac:dyDescent="0.3">
      <c r="A10" s="6">
        <v>44207</v>
      </c>
      <c r="B10" s="6" t="s">
        <v>113</v>
      </c>
      <c r="C10" s="16">
        <v>11</v>
      </c>
      <c r="D10" s="6" t="s">
        <v>114</v>
      </c>
      <c r="E10" s="7" t="s">
        <v>86</v>
      </c>
      <c r="F10" s="8">
        <v>3</v>
      </c>
      <c r="G10" s="8" t="s">
        <v>117</v>
      </c>
      <c r="H10" s="8">
        <f>VLOOKUP(E10,'[1]Master File'!$A:$F,5,0)*F10</f>
        <v>201</v>
      </c>
      <c r="I10" s="8">
        <f>VLOOKUP($E10,'[1]Master File'!$A:$F,6,0)*$F10</f>
        <v>257.28000000000003</v>
      </c>
      <c r="L10" s="5" t="s">
        <v>124</v>
      </c>
    </row>
    <row r="11" spans="1:12" x14ac:dyDescent="0.3">
      <c r="A11" s="6">
        <v>44207</v>
      </c>
      <c r="B11" s="6" t="s">
        <v>113</v>
      </c>
      <c r="C11" s="16">
        <v>11</v>
      </c>
      <c r="D11" s="6" t="s">
        <v>114</v>
      </c>
      <c r="E11" s="7" t="s">
        <v>38</v>
      </c>
      <c r="F11" s="8">
        <v>4</v>
      </c>
      <c r="G11" s="8" t="s">
        <v>115</v>
      </c>
      <c r="H11" s="8">
        <f>VLOOKUP(E11,'[1]Master File'!$A:$F,5,0)*F11</f>
        <v>448</v>
      </c>
      <c r="I11" s="8">
        <f>VLOOKUP($E11,'[1]Master File'!$A:$F,6,0)*$F11</f>
        <v>586.88</v>
      </c>
      <c r="L11" s="5" t="s">
        <v>125</v>
      </c>
    </row>
    <row r="12" spans="1:12" x14ac:dyDescent="0.3">
      <c r="A12" s="6">
        <v>44207</v>
      </c>
      <c r="B12" s="6" t="s">
        <v>113</v>
      </c>
      <c r="C12" s="16">
        <v>11</v>
      </c>
      <c r="D12" s="6" t="s">
        <v>114</v>
      </c>
      <c r="E12" s="7" t="s">
        <v>97</v>
      </c>
      <c r="F12" s="8">
        <v>4</v>
      </c>
      <c r="G12" s="8" t="s">
        <v>115</v>
      </c>
      <c r="H12" s="8">
        <f>VLOOKUP(E12,'[1]Master File'!$A:$F,5,0)*F12</f>
        <v>480</v>
      </c>
      <c r="I12" s="8">
        <f>VLOOKUP($E12,'[1]Master File'!$A:$F,6,0)*$F12</f>
        <v>648</v>
      </c>
      <c r="L12" s="5" t="s">
        <v>126</v>
      </c>
    </row>
    <row r="13" spans="1:12" x14ac:dyDescent="0.3">
      <c r="A13" s="6">
        <v>44208</v>
      </c>
      <c r="B13" s="6" t="s">
        <v>113</v>
      </c>
      <c r="C13" s="16">
        <v>12</v>
      </c>
      <c r="D13" s="6" t="s">
        <v>114</v>
      </c>
      <c r="E13" s="7" t="s">
        <v>97</v>
      </c>
      <c r="F13" s="8">
        <v>10</v>
      </c>
      <c r="G13" s="8" t="s">
        <v>117</v>
      </c>
      <c r="H13" s="8">
        <f>VLOOKUP(E13,'[1]Master File'!$A:$F,5,0)*F13</f>
        <v>1200</v>
      </c>
      <c r="I13" s="8">
        <f>VLOOKUP($E13,'[1]Master File'!$A:$F,6,0)*$F13</f>
        <v>1620</v>
      </c>
    </row>
    <row r="14" spans="1:12" x14ac:dyDescent="0.3">
      <c r="A14" s="6">
        <v>44214</v>
      </c>
      <c r="B14" s="6" t="s">
        <v>113</v>
      </c>
      <c r="C14" s="16">
        <v>18</v>
      </c>
      <c r="D14" s="6" t="s">
        <v>114</v>
      </c>
      <c r="E14" s="7" t="s">
        <v>101</v>
      </c>
      <c r="F14" s="8">
        <v>13</v>
      </c>
      <c r="G14" s="8" t="s">
        <v>115</v>
      </c>
      <c r="H14" s="8">
        <f>VLOOKUP(E14,'[1]Master File'!$A:$F,5,0)*F14</f>
        <v>988</v>
      </c>
      <c r="I14" s="8">
        <f>VLOOKUP($E14,'[1]Master File'!$A:$F,6,0)*$F14</f>
        <v>1067.04</v>
      </c>
    </row>
    <row r="15" spans="1:12" x14ac:dyDescent="0.3">
      <c r="A15" s="6">
        <v>44214</v>
      </c>
      <c r="B15" s="6" t="s">
        <v>113</v>
      </c>
      <c r="C15" s="16">
        <v>18</v>
      </c>
      <c r="D15" s="6" t="s">
        <v>114</v>
      </c>
      <c r="E15" s="7" t="s">
        <v>57</v>
      </c>
      <c r="F15" s="8">
        <v>3</v>
      </c>
      <c r="G15" s="8" t="s">
        <v>117</v>
      </c>
      <c r="H15" s="8">
        <f>VLOOKUP(E15,'[1]Master File'!$A:$F,5,0)*F15</f>
        <v>423</v>
      </c>
      <c r="I15" s="8">
        <f>VLOOKUP($E15,'[1]Master File'!$A:$F,6,0)*$F15</f>
        <v>448.38</v>
      </c>
    </row>
    <row r="16" spans="1:12" x14ac:dyDescent="0.3">
      <c r="A16" s="6">
        <v>44215</v>
      </c>
      <c r="B16" s="6" t="s">
        <v>113</v>
      </c>
      <c r="C16" s="16">
        <v>19</v>
      </c>
      <c r="D16" s="6" t="s">
        <v>114</v>
      </c>
      <c r="E16" s="7" t="s">
        <v>82</v>
      </c>
      <c r="F16" s="8">
        <v>6</v>
      </c>
      <c r="G16" s="8" t="s">
        <v>117</v>
      </c>
      <c r="H16" s="8">
        <f>VLOOKUP(E16,'[1]Master File'!$A:$F,5,0)*F16</f>
        <v>30</v>
      </c>
      <c r="I16" s="8">
        <f>VLOOKUP($E16,'[1]Master File'!$A:$F,6,0)*$F16</f>
        <v>40.200000000000003</v>
      </c>
    </row>
    <row r="17" spans="1:9" x14ac:dyDescent="0.3">
      <c r="A17" s="6">
        <v>44216</v>
      </c>
      <c r="B17" s="6" t="s">
        <v>113</v>
      </c>
      <c r="C17" s="16">
        <v>20</v>
      </c>
      <c r="D17" s="6" t="s">
        <v>114</v>
      </c>
      <c r="E17" s="7" t="s">
        <v>80</v>
      </c>
      <c r="F17" s="8">
        <v>4</v>
      </c>
      <c r="G17" s="8" t="s">
        <v>117</v>
      </c>
      <c r="H17" s="8">
        <f>VLOOKUP(E17,'[1]Master File'!$A:$F,5,0)*F17</f>
        <v>220</v>
      </c>
      <c r="I17" s="8">
        <f>VLOOKUP($E17,'[1]Master File'!$A:$F,6,0)*$F17</f>
        <v>233.2</v>
      </c>
    </row>
    <row r="18" spans="1:9" x14ac:dyDescent="0.3">
      <c r="A18" s="6">
        <v>44216</v>
      </c>
      <c r="B18" s="6" t="s">
        <v>113</v>
      </c>
      <c r="C18" s="16">
        <v>20</v>
      </c>
      <c r="D18" s="6" t="s">
        <v>114</v>
      </c>
      <c r="E18" s="7" t="s">
        <v>50</v>
      </c>
      <c r="F18" s="8">
        <v>4</v>
      </c>
      <c r="G18" s="8" t="s">
        <v>117</v>
      </c>
      <c r="H18" s="8">
        <f>VLOOKUP(E18,'[1]Master File'!$A:$F,5,0)*F18</f>
        <v>244</v>
      </c>
      <c r="I18" s="8">
        <f>VLOOKUP($E18,'[1]Master File'!$A:$F,6,0)*$F18</f>
        <v>305</v>
      </c>
    </row>
    <row r="19" spans="1:9" x14ac:dyDescent="0.3">
      <c r="A19" s="6">
        <v>44217</v>
      </c>
      <c r="B19" s="6" t="s">
        <v>113</v>
      </c>
      <c r="C19" s="16">
        <v>21</v>
      </c>
      <c r="D19" s="6" t="s">
        <v>114</v>
      </c>
      <c r="E19" s="7" t="s">
        <v>14</v>
      </c>
      <c r="F19" s="8">
        <v>15</v>
      </c>
      <c r="G19" s="8" t="s">
        <v>117</v>
      </c>
      <c r="H19" s="8">
        <f>VLOOKUP(E19,'[1]Master File'!$A:$F,5,0)*F19</f>
        <v>660</v>
      </c>
      <c r="I19" s="8">
        <f>VLOOKUP($E19,'[1]Master File'!$A:$F,6,0)*$F19</f>
        <v>732.6</v>
      </c>
    </row>
    <row r="20" spans="1:9" x14ac:dyDescent="0.3">
      <c r="A20" s="6">
        <v>44217</v>
      </c>
      <c r="B20" s="6" t="s">
        <v>113</v>
      </c>
      <c r="C20" s="16">
        <v>21</v>
      </c>
      <c r="D20" s="6" t="s">
        <v>114</v>
      </c>
      <c r="E20" s="7" t="s">
        <v>12</v>
      </c>
      <c r="F20" s="8">
        <v>9</v>
      </c>
      <c r="G20" s="8" t="s">
        <v>115</v>
      </c>
      <c r="H20" s="8">
        <f>VLOOKUP(E20,'[1]Master File'!$A:$F,5,0)*F20</f>
        <v>639</v>
      </c>
      <c r="I20" s="8">
        <f>VLOOKUP($E20,'[1]Master File'!$A:$F,6,0)*$F20</f>
        <v>728.46</v>
      </c>
    </row>
    <row r="21" spans="1:9" x14ac:dyDescent="0.3">
      <c r="A21" s="6">
        <v>44217</v>
      </c>
      <c r="B21" s="6" t="s">
        <v>113</v>
      </c>
      <c r="C21" s="16">
        <v>21</v>
      </c>
      <c r="D21" s="6" t="s">
        <v>114</v>
      </c>
      <c r="E21" s="7" t="s">
        <v>97</v>
      </c>
      <c r="F21" s="8">
        <v>6</v>
      </c>
      <c r="G21" s="8" t="s">
        <v>115</v>
      </c>
      <c r="H21" s="8">
        <f>VLOOKUP(E21,'[1]Master File'!$A:$F,5,0)*F21</f>
        <v>720</v>
      </c>
      <c r="I21" s="8">
        <f>VLOOKUP($E21,'[1]Master File'!$A:$F,6,0)*$F21</f>
        <v>972</v>
      </c>
    </row>
    <row r="22" spans="1:9" x14ac:dyDescent="0.3">
      <c r="A22" s="6">
        <v>44221</v>
      </c>
      <c r="B22" s="6" t="s">
        <v>113</v>
      </c>
      <c r="C22" s="16">
        <v>25</v>
      </c>
      <c r="D22" s="6" t="s">
        <v>114</v>
      </c>
      <c r="E22" s="7" t="s">
        <v>80</v>
      </c>
      <c r="F22" s="8">
        <v>6</v>
      </c>
      <c r="G22" s="8" t="s">
        <v>117</v>
      </c>
      <c r="H22" s="8">
        <f>VLOOKUP(E22,'[1]Master File'!$A:$F,5,0)*F22</f>
        <v>330</v>
      </c>
      <c r="I22" s="8">
        <f>VLOOKUP($E22,'[1]Master File'!$A:$F,6,0)*$F22</f>
        <v>349.79999999999995</v>
      </c>
    </row>
    <row r="23" spans="1:9" x14ac:dyDescent="0.3">
      <c r="A23" s="6">
        <v>44221</v>
      </c>
      <c r="B23" s="6" t="s">
        <v>113</v>
      </c>
      <c r="C23" s="16">
        <v>25</v>
      </c>
      <c r="D23" s="6" t="s">
        <v>114</v>
      </c>
      <c r="E23" s="7" t="s">
        <v>82</v>
      </c>
      <c r="F23" s="8">
        <v>7</v>
      </c>
      <c r="G23" s="8" t="s">
        <v>115</v>
      </c>
      <c r="H23" s="8">
        <f>VLOOKUP(E23,'[1]Master File'!$A:$F,5,0)*F23</f>
        <v>35</v>
      </c>
      <c r="I23" s="8">
        <f>VLOOKUP($E23,'[1]Master File'!$A:$F,6,0)*$F23</f>
        <v>46.9</v>
      </c>
    </row>
    <row r="24" spans="1:9" x14ac:dyDescent="0.3">
      <c r="A24" s="6">
        <v>44221</v>
      </c>
      <c r="B24" s="6" t="s">
        <v>113</v>
      </c>
      <c r="C24" s="16">
        <v>25</v>
      </c>
      <c r="D24" s="6" t="s">
        <v>114</v>
      </c>
      <c r="E24" s="7" t="s">
        <v>74</v>
      </c>
      <c r="F24" s="8">
        <v>14</v>
      </c>
      <c r="G24" s="8" t="s">
        <v>115</v>
      </c>
      <c r="H24" s="8">
        <f>VLOOKUP(E24,'[1]Master File'!$A:$F,5,0)*F24</f>
        <v>1302</v>
      </c>
      <c r="I24" s="8">
        <f>VLOOKUP($E24,'[1]Master File'!$A:$F,6,0)*$F24</f>
        <v>1458.24</v>
      </c>
    </row>
    <row r="25" spans="1:9" x14ac:dyDescent="0.3">
      <c r="A25" s="6">
        <v>44222</v>
      </c>
      <c r="B25" s="6" t="s">
        <v>113</v>
      </c>
      <c r="C25" s="16">
        <v>26</v>
      </c>
      <c r="D25" s="6" t="s">
        <v>114</v>
      </c>
      <c r="E25" s="7" t="s">
        <v>101</v>
      </c>
      <c r="F25" s="8">
        <v>9</v>
      </c>
      <c r="G25" s="8" t="s">
        <v>117</v>
      </c>
      <c r="H25" s="8">
        <f>VLOOKUP(E25,'[1]Master File'!$A:$F,5,0)*F25</f>
        <v>684</v>
      </c>
      <c r="I25" s="8">
        <f>VLOOKUP($E25,'[1]Master File'!$A:$F,6,0)*$F25</f>
        <v>738.72</v>
      </c>
    </row>
    <row r="26" spans="1:9" x14ac:dyDescent="0.3">
      <c r="A26" s="6">
        <v>44222</v>
      </c>
      <c r="B26" s="6" t="s">
        <v>113</v>
      </c>
      <c r="C26" s="16">
        <v>26</v>
      </c>
      <c r="D26" s="6" t="s">
        <v>114</v>
      </c>
      <c r="E26" s="7" t="s">
        <v>20</v>
      </c>
      <c r="F26" s="8">
        <v>7</v>
      </c>
      <c r="G26" s="8" t="s">
        <v>117</v>
      </c>
      <c r="H26" s="8">
        <f>VLOOKUP(E26,'[1]Master File'!$A:$F,5,0)*F26</f>
        <v>525</v>
      </c>
      <c r="I26" s="8">
        <f>VLOOKUP($E26,'[1]Master File'!$A:$F,6,0)*$F26</f>
        <v>598.5</v>
      </c>
    </row>
    <row r="27" spans="1:9" x14ac:dyDescent="0.3">
      <c r="A27" s="6">
        <v>44222</v>
      </c>
      <c r="B27" s="6" t="s">
        <v>113</v>
      </c>
      <c r="C27" s="16">
        <v>26</v>
      </c>
      <c r="D27" s="6" t="s">
        <v>114</v>
      </c>
      <c r="E27" s="7" t="s">
        <v>6</v>
      </c>
      <c r="F27" s="8">
        <v>7</v>
      </c>
      <c r="G27" s="8" t="s">
        <v>115</v>
      </c>
      <c r="H27" s="8">
        <f>VLOOKUP(E27,'[1]Master File'!$A:$F,5,0)*F27</f>
        <v>686</v>
      </c>
      <c r="I27" s="8">
        <f>VLOOKUP($E27,'[1]Master File'!$A:$F,6,0)*$F27</f>
        <v>727.16</v>
      </c>
    </row>
    <row r="28" spans="1:9" x14ac:dyDescent="0.3">
      <c r="A28" s="6">
        <v>44223</v>
      </c>
      <c r="B28" s="6" t="s">
        <v>113</v>
      </c>
      <c r="C28" s="16">
        <v>27</v>
      </c>
      <c r="D28" s="6" t="s">
        <v>114</v>
      </c>
      <c r="E28" s="7" t="s">
        <v>93</v>
      </c>
      <c r="F28" s="8">
        <v>7</v>
      </c>
      <c r="G28" s="8" t="s">
        <v>115</v>
      </c>
      <c r="H28" s="8">
        <f>VLOOKUP(E28,'[1]Master File'!$A:$F,5,0)*F28</f>
        <v>630</v>
      </c>
      <c r="I28" s="8">
        <f>VLOOKUP($E28,'[1]Master File'!$A:$F,6,0)*$F28</f>
        <v>806.4</v>
      </c>
    </row>
    <row r="29" spans="1:9" x14ac:dyDescent="0.3">
      <c r="A29" s="6">
        <v>44223</v>
      </c>
      <c r="B29" s="6" t="s">
        <v>113</v>
      </c>
      <c r="C29" s="16">
        <v>27</v>
      </c>
      <c r="D29" s="6" t="s">
        <v>114</v>
      </c>
      <c r="E29" s="7" t="s">
        <v>76</v>
      </c>
      <c r="F29" s="8">
        <v>3</v>
      </c>
      <c r="G29" s="8" t="s">
        <v>115</v>
      </c>
      <c r="H29" s="8">
        <f>VLOOKUP(E29,'[1]Master File'!$A:$F,5,0)*F29</f>
        <v>267</v>
      </c>
      <c r="I29" s="8">
        <f>VLOOKUP($E29,'[1]Master File'!$A:$F,6,0)*$F29</f>
        <v>352.44</v>
      </c>
    </row>
    <row r="30" spans="1:9" x14ac:dyDescent="0.3">
      <c r="A30" s="6">
        <v>44224</v>
      </c>
      <c r="B30" s="6" t="s">
        <v>113</v>
      </c>
      <c r="C30" s="16">
        <v>28</v>
      </c>
      <c r="D30" s="6" t="s">
        <v>114</v>
      </c>
      <c r="E30" s="7" t="s">
        <v>14</v>
      </c>
      <c r="F30" s="8">
        <v>10</v>
      </c>
      <c r="G30" s="8" t="s">
        <v>117</v>
      </c>
      <c r="H30" s="8">
        <f>VLOOKUP(E30,'[1]Master File'!$A:$F,5,0)*F30</f>
        <v>440</v>
      </c>
      <c r="I30" s="8">
        <f>VLOOKUP($E30,'[1]Master File'!$A:$F,6,0)*$F30</f>
        <v>488.40000000000003</v>
      </c>
    </row>
    <row r="31" spans="1:9" x14ac:dyDescent="0.3">
      <c r="A31" s="6">
        <v>44224</v>
      </c>
      <c r="B31" s="6" t="s">
        <v>113</v>
      </c>
      <c r="C31" s="16">
        <v>28</v>
      </c>
      <c r="D31" s="6" t="s">
        <v>114</v>
      </c>
      <c r="E31" s="7" t="s">
        <v>70</v>
      </c>
      <c r="F31" s="8">
        <v>2</v>
      </c>
      <c r="G31" s="8" t="s">
        <v>117</v>
      </c>
      <c r="H31" s="8">
        <f>VLOOKUP(E31,'[1]Master File'!$A:$F,5,0)*F31</f>
        <v>94</v>
      </c>
      <c r="I31" s="8">
        <f>VLOOKUP($E31,'[1]Master File'!$A:$F,6,0)*$F31</f>
        <v>106.22</v>
      </c>
    </row>
    <row r="32" spans="1:9" x14ac:dyDescent="0.3">
      <c r="A32" s="6">
        <v>44229</v>
      </c>
      <c r="B32" s="6" t="s">
        <v>127</v>
      </c>
      <c r="C32" s="16">
        <v>2</v>
      </c>
      <c r="D32" s="6" t="s">
        <v>114</v>
      </c>
      <c r="E32" s="7" t="s">
        <v>29</v>
      </c>
      <c r="F32" s="8">
        <v>7</v>
      </c>
      <c r="G32" s="8" t="s">
        <v>115</v>
      </c>
      <c r="H32" s="8">
        <f>VLOOKUP(E32,'[1]Master File'!$A:$F,5,0)*F32</f>
        <v>1036</v>
      </c>
      <c r="I32" s="8">
        <f>VLOOKUP($E32,'[1]Master File'!$A:$F,6,0)*$F32</f>
        <v>1149.96</v>
      </c>
    </row>
    <row r="33" spans="1:9" x14ac:dyDescent="0.3">
      <c r="A33" s="6">
        <v>44230</v>
      </c>
      <c r="B33" s="6" t="s">
        <v>127</v>
      </c>
      <c r="C33" s="16">
        <v>3</v>
      </c>
      <c r="D33" s="6" t="s">
        <v>114</v>
      </c>
      <c r="E33" s="7" t="s">
        <v>42</v>
      </c>
      <c r="F33" s="8">
        <v>13</v>
      </c>
      <c r="G33" s="8" t="s">
        <v>115</v>
      </c>
      <c r="H33" s="8">
        <f>VLOOKUP(E33,'[1]Master File'!$A:$F,5,0)*F33</f>
        <v>169</v>
      </c>
      <c r="I33" s="8">
        <f>VLOOKUP($E33,'[1]Master File'!$A:$F,6,0)*$F33</f>
        <v>216.32</v>
      </c>
    </row>
    <row r="34" spans="1:9" x14ac:dyDescent="0.3">
      <c r="A34" s="6">
        <v>44230</v>
      </c>
      <c r="B34" s="6" t="s">
        <v>127</v>
      </c>
      <c r="C34" s="16">
        <v>3</v>
      </c>
      <c r="D34" s="6" t="s">
        <v>114</v>
      </c>
      <c r="E34" s="7" t="s">
        <v>55</v>
      </c>
      <c r="F34" s="8">
        <v>2</v>
      </c>
      <c r="G34" s="8" t="s">
        <v>117</v>
      </c>
      <c r="H34" s="8">
        <f>VLOOKUP(E34,'[1]Master File'!$A:$F,5,0)*F34</f>
        <v>242</v>
      </c>
      <c r="I34" s="8">
        <f>VLOOKUP($E34,'[1]Master File'!$A:$F,6,0)*$F34</f>
        <v>283.14</v>
      </c>
    </row>
    <row r="35" spans="1:9" x14ac:dyDescent="0.3">
      <c r="A35" s="6">
        <v>44231</v>
      </c>
      <c r="B35" s="6" t="s">
        <v>127</v>
      </c>
      <c r="C35" s="16">
        <v>4</v>
      </c>
      <c r="D35" s="6" t="s">
        <v>114</v>
      </c>
      <c r="E35" s="7" t="s">
        <v>86</v>
      </c>
      <c r="F35" s="8">
        <v>4</v>
      </c>
      <c r="G35" s="8" t="s">
        <v>115</v>
      </c>
      <c r="H35" s="8">
        <f>VLOOKUP(E35,'[1]Master File'!$A:$F,5,0)*F35</f>
        <v>268</v>
      </c>
      <c r="I35" s="8">
        <f>VLOOKUP($E35,'[1]Master File'!$A:$F,6,0)*$F35</f>
        <v>343.04</v>
      </c>
    </row>
    <row r="36" spans="1:9" x14ac:dyDescent="0.3">
      <c r="A36" s="6">
        <v>44232</v>
      </c>
      <c r="B36" s="6" t="s">
        <v>127</v>
      </c>
      <c r="C36" s="16">
        <v>5</v>
      </c>
      <c r="D36" s="6" t="s">
        <v>114</v>
      </c>
      <c r="E36" s="7" t="s">
        <v>99</v>
      </c>
      <c r="F36" s="8">
        <v>7</v>
      </c>
      <c r="G36" s="8" t="s">
        <v>117</v>
      </c>
      <c r="H36" s="8">
        <f>VLOOKUP(E36,'[1]Master File'!$A:$F,5,0)*F36</f>
        <v>469</v>
      </c>
      <c r="I36" s="8">
        <f>VLOOKUP($E36,'[1]Master File'!$A:$F,6,0)*$F36</f>
        <v>581.55999999999995</v>
      </c>
    </row>
    <row r="37" spans="1:9" x14ac:dyDescent="0.3">
      <c r="A37" s="6">
        <v>44232</v>
      </c>
      <c r="B37" s="6" t="s">
        <v>127</v>
      </c>
      <c r="C37" s="16">
        <v>5</v>
      </c>
      <c r="D37" s="6" t="s">
        <v>114</v>
      </c>
      <c r="E37" s="7" t="s">
        <v>17</v>
      </c>
      <c r="F37" s="8">
        <v>1</v>
      </c>
      <c r="G37" s="8" t="s">
        <v>117</v>
      </c>
      <c r="H37" s="8">
        <f>VLOOKUP(E37,'[1]Master File'!$A:$F,5,0)*F37</f>
        <v>133</v>
      </c>
      <c r="I37" s="8">
        <f>VLOOKUP($E37,'[1]Master File'!$A:$F,6,0)*$F37</f>
        <v>155.61000000000001</v>
      </c>
    </row>
    <row r="38" spans="1:9" x14ac:dyDescent="0.3">
      <c r="A38" s="6">
        <v>44232</v>
      </c>
      <c r="B38" s="6" t="s">
        <v>127</v>
      </c>
      <c r="C38" s="16">
        <v>5</v>
      </c>
      <c r="D38" s="6" t="s">
        <v>114</v>
      </c>
      <c r="E38" s="7" t="s">
        <v>99</v>
      </c>
      <c r="F38" s="8">
        <v>9</v>
      </c>
      <c r="G38" s="8" t="s">
        <v>117</v>
      </c>
      <c r="H38" s="8">
        <f>VLOOKUP(E38,'[1]Master File'!$A:$F,5,0)*F38</f>
        <v>603</v>
      </c>
      <c r="I38" s="8">
        <f>VLOOKUP($E38,'[1]Master File'!$A:$F,6,0)*$F38</f>
        <v>747.72</v>
      </c>
    </row>
    <row r="39" spans="1:9" x14ac:dyDescent="0.3">
      <c r="A39" s="6">
        <v>44233</v>
      </c>
      <c r="B39" s="6" t="s">
        <v>127</v>
      </c>
      <c r="C39" s="16">
        <v>6</v>
      </c>
      <c r="D39" s="6" t="s">
        <v>114</v>
      </c>
      <c r="E39" s="7" t="s">
        <v>82</v>
      </c>
      <c r="F39" s="8">
        <v>1</v>
      </c>
      <c r="G39" s="8" t="s">
        <v>117</v>
      </c>
      <c r="H39" s="8">
        <f>VLOOKUP(E39,'[1]Master File'!$A:$F,5,0)*F39</f>
        <v>5</v>
      </c>
      <c r="I39" s="8">
        <f>VLOOKUP($E39,'[1]Master File'!$A:$F,6,0)*$F39</f>
        <v>6.7</v>
      </c>
    </row>
    <row r="40" spans="1:9" x14ac:dyDescent="0.3">
      <c r="A40" s="6">
        <v>44236</v>
      </c>
      <c r="B40" s="6" t="s">
        <v>127</v>
      </c>
      <c r="C40" s="16">
        <v>9</v>
      </c>
      <c r="D40" s="6" t="s">
        <v>114</v>
      </c>
      <c r="E40" s="7" t="s">
        <v>80</v>
      </c>
      <c r="F40" s="8">
        <v>14</v>
      </c>
      <c r="G40" s="8" t="s">
        <v>115</v>
      </c>
      <c r="H40" s="8">
        <f>VLOOKUP(E40,'[1]Master File'!$A:$F,5,0)*F40</f>
        <v>770</v>
      </c>
      <c r="I40" s="8">
        <f>VLOOKUP($E40,'[1]Master File'!$A:$F,6,0)*$F40</f>
        <v>816.19999999999993</v>
      </c>
    </row>
    <row r="41" spans="1:9" x14ac:dyDescent="0.3">
      <c r="A41" s="6">
        <v>44239</v>
      </c>
      <c r="B41" s="6" t="s">
        <v>127</v>
      </c>
      <c r="C41" s="16">
        <v>12</v>
      </c>
      <c r="D41" s="6" t="s">
        <v>114</v>
      </c>
      <c r="E41" s="7" t="s">
        <v>24</v>
      </c>
      <c r="F41" s="8">
        <v>7</v>
      </c>
      <c r="G41" s="8" t="s">
        <v>117</v>
      </c>
      <c r="H41" s="8">
        <f>VLOOKUP(E41,'[1]Master File'!$A:$F,5,0)*F41</f>
        <v>581</v>
      </c>
      <c r="I41" s="8">
        <f>VLOOKUP($E41,'[1]Master File'!$A:$F,6,0)*$F41</f>
        <v>662.34</v>
      </c>
    </row>
    <row r="42" spans="1:9" x14ac:dyDescent="0.3">
      <c r="A42" s="6">
        <v>44239</v>
      </c>
      <c r="B42" s="6" t="s">
        <v>127</v>
      </c>
      <c r="C42" s="16">
        <v>12</v>
      </c>
      <c r="D42" s="6" t="s">
        <v>114</v>
      </c>
      <c r="E42" s="7" t="s">
        <v>57</v>
      </c>
      <c r="F42" s="8">
        <v>9</v>
      </c>
      <c r="G42" s="8" t="s">
        <v>117</v>
      </c>
      <c r="H42" s="8">
        <f>VLOOKUP(E42,'[1]Master File'!$A:$F,5,0)*F42</f>
        <v>1269</v>
      </c>
      <c r="I42" s="8">
        <f>VLOOKUP($E42,'[1]Master File'!$A:$F,6,0)*$F42</f>
        <v>1345.14</v>
      </c>
    </row>
    <row r="43" spans="1:9" x14ac:dyDescent="0.3">
      <c r="A43" s="6">
        <v>44242</v>
      </c>
      <c r="B43" s="6" t="s">
        <v>127</v>
      </c>
      <c r="C43" s="16">
        <v>15</v>
      </c>
      <c r="D43" s="6" t="s">
        <v>114</v>
      </c>
      <c r="E43" s="7" t="s">
        <v>66</v>
      </c>
      <c r="F43" s="8">
        <v>4</v>
      </c>
      <c r="G43" s="8" t="s">
        <v>115</v>
      </c>
      <c r="H43" s="8">
        <f>VLOOKUP(E43,'[1]Master File'!$A:$F,5,0)*F43</f>
        <v>192</v>
      </c>
      <c r="I43" s="8">
        <f>VLOOKUP($E43,'[1]Master File'!$A:$F,6,0)*$F43</f>
        <v>228.48000000000002</v>
      </c>
    </row>
    <row r="44" spans="1:9" x14ac:dyDescent="0.3">
      <c r="A44" s="6">
        <v>44245</v>
      </c>
      <c r="B44" s="6" t="s">
        <v>127</v>
      </c>
      <c r="C44" s="16">
        <v>18</v>
      </c>
      <c r="D44" s="6" t="s">
        <v>114</v>
      </c>
      <c r="E44" s="7" t="s">
        <v>40</v>
      </c>
      <c r="F44" s="8">
        <v>6</v>
      </c>
      <c r="G44" s="8" t="s">
        <v>117</v>
      </c>
      <c r="H44" s="8">
        <f>VLOOKUP(E44,'[1]Master File'!$A:$F,5,0)*F44</f>
        <v>72</v>
      </c>
      <c r="I44" s="8">
        <f>VLOOKUP($E44,'[1]Master File'!$A:$F,6,0)*$F44</f>
        <v>94.32</v>
      </c>
    </row>
    <row r="45" spans="1:9" x14ac:dyDescent="0.3">
      <c r="A45" s="6">
        <v>44247</v>
      </c>
      <c r="B45" s="6" t="s">
        <v>127</v>
      </c>
      <c r="C45" s="16">
        <v>20</v>
      </c>
      <c r="D45" s="6" t="s">
        <v>114</v>
      </c>
      <c r="E45" s="7" t="s">
        <v>72</v>
      </c>
      <c r="F45" s="8">
        <v>11</v>
      </c>
      <c r="G45" s="8" t="s">
        <v>117</v>
      </c>
      <c r="H45" s="8">
        <f>VLOOKUP(E45,'[1]Master File'!$A:$F,5,0)*F45</f>
        <v>1628</v>
      </c>
      <c r="I45" s="8">
        <f>VLOOKUP($E45,'[1]Master File'!$A:$F,6,0)*$F45</f>
        <v>2214.08</v>
      </c>
    </row>
    <row r="46" spans="1:9" x14ac:dyDescent="0.3">
      <c r="A46" s="6">
        <v>44249</v>
      </c>
      <c r="B46" s="6" t="s">
        <v>127</v>
      </c>
      <c r="C46" s="16">
        <v>22</v>
      </c>
      <c r="D46" s="6" t="s">
        <v>114</v>
      </c>
      <c r="E46" s="7" t="s">
        <v>36</v>
      </c>
      <c r="F46" s="8">
        <v>5</v>
      </c>
      <c r="G46" s="8" t="s">
        <v>117</v>
      </c>
      <c r="H46" s="8">
        <f>VLOOKUP(E46,'[1]Master File'!$A:$F,5,0)*F46</f>
        <v>560</v>
      </c>
      <c r="I46" s="8">
        <f>VLOOKUP($E46,'[1]Master File'!$A:$F,6,0)*$F46</f>
        <v>610.4</v>
      </c>
    </row>
    <row r="47" spans="1:9" x14ac:dyDescent="0.3">
      <c r="A47" s="6">
        <v>44250</v>
      </c>
      <c r="B47" s="6" t="s">
        <v>127</v>
      </c>
      <c r="C47" s="16">
        <v>23</v>
      </c>
      <c r="D47" s="6" t="s">
        <v>114</v>
      </c>
      <c r="E47" s="7" t="s">
        <v>61</v>
      </c>
      <c r="F47" s="8">
        <v>3</v>
      </c>
      <c r="G47" s="8" t="s">
        <v>117</v>
      </c>
      <c r="H47" s="8">
        <f>VLOOKUP(E47,'[1]Master File'!$A:$F,5,0)*F47</f>
        <v>21</v>
      </c>
      <c r="I47" s="8">
        <f>VLOOKUP($E47,'[1]Master File'!$A:$F,6,0)*$F47</f>
        <v>24.990000000000002</v>
      </c>
    </row>
    <row r="48" spans="1:9" x14ac:dyDescent="0.3">
      <c r="A48" s="6">
        <v>44250</v>
      </c>
      <c r="B48" s="6" t="s">
        <v>127</v>
      </c>
      <c r="C48" s="16">
        <v>23</v>
      </c>
      <c r="D48" s="6" t="s">
        <v>114</v>
      </c>
      <c r="E48" s="7" t="s">
        <v>17</v>
      </c>
      <c r="F48" s="8">
        <v>2</v>
      </c>
      <c r="G48" s="8" t="s">
        <v>115</v>
      </c>
      <c r="H48" s="8">
        <f>VLOOKUP(E48,'[1]Master File'!$A:$F,5,0)*F48</f>
        <v>266</v>
      </c>
      <c r="I48" s="8">
        <f>VLOOKUP($E48,'[1]Master File'!$A:$F,6,0)*$F48</f>
        <v>311.22000000000003</v>
      </c>
    </row>
    <row r="49" spans="1:9" x14ac:dyDescent="0.3">
      <c r="A49" s="6">
        <v>44252</v>
      </c>
      <c r="B49" s="6" t="s">
        <v>127</v>
      </c>
      <c r="C49" s="16">
        <v>25</v>
      </c>
      <c r="D49" s="6" t="s">
        <v>114</v>
      </c>
      <c r="E49" s="7" t="s">
        <v>10</v>
      </c>
      <c r="F49" s="8">
        <v>4</v>
      </c>
      <c r="G49" s="8" t="s">
        <v>115</v>
      </c>
      <c r="H49" s="8">
        <f>VLOOKUP(E49,'[1]Master File'!$A:$F,5,0)*F49</f>
        <v>420</v>
      </c>
      <c r="I49" s="8">
        <f>VLOOKUP($E49,'[1]Master File'!$A:$F,6,0)*$F49</f>
        <v>571.20000000000005</v>
      </c>
    </row>
    <row r="50" spans="1:9" x14ac:dyDescent="0.3">
      <c r="A50" s="6">
        <v>44252</v>
      </c>
      <c r="B50" s="6" t="s">
        <v>127</v>
      </c>
      <c r="C50" s="16">
        <v>25</v>
      </c>
      <c r="D50" s="6" t="s">
        <v>114</v>
      </c>
      <c r="E50" s="7" t="s">
        <v>76</v>
      </c>
      <c r="F50" s="8">
        <v>11</v>
      </c>
      <c r="G50" s="8" t="s">
        <v>117</v>
      </c>
      <c r="H50" s="8">
        <f>VLOOKUP(E50,'[1]Master File'!$A:$F,5,0)*F50</f>
        <v>979</v>
      </c>
      <c r="I50" s="8">
        <f>VLOOKUP($E50,'[1]Master File'!$A:$F,6,0)*$F50</f>
        <v>1292.28</v>
      </c>
    </row>
    <row r="51" spans="1:9" x14ac:dyDescent="0.3">
      <c r="A51" s="6">
        <v>44252</v>
      </c>
      <c r="B51" s="6" t="s">
        <v>127</v>
      </c>
      <c r="C51" s="16">
        <v>25</v>
      </c>
      <c r="D51" s="6" t="s">
        <v>114</v>
      </c>
      <c r="E51" s="7" t="s">
        <v>72</v>
      </c>
      <c r="F51" s="8">
        <v>2</v>
      </c>
      <c r="G51" s="8" t="s">
        <v>115</v>
      </c>
      <c r="H51" s="8">
        <f>VLOOKUP(E51,'[1]Master File'!$A:$F,5,0)*F51</f>
        <v>296</v>
      </c>
      <c r="I51" s="8">
        <f>VLOOKUP($E51,'[1]Master File'!$A:$F,6,0)*$F51</f>
        <v>402.56</v>
      </c>
    </row>
    <row r="52" spans="1:9" x14ac:dyDescent="0.3">
      <c r="A52" s="6">
        <v>44254</v>
      </c>
      <c r="B52" s="6" t="s">
        <v>127</v>
      </c>
      <c r="C52" s="16">
        <v>27</v>
      </c>
      <c r="D52" s="6" t="s">
        <v>114</v>
      </c>
      <c r="E52" s="7" t="s">
        <v>46</v>
      </c>
      <c r="F52" s="8">
        <v>11</v>
      </c>
      <c r="G52" s="8" t="s">
        <v>115</v>
      </c>
      <c r="H52" s="8">
        <f>VLOOKUP(E52,'[1]Master File'!$A:$F,5,0)*F52</f>
        <v>407</v>
      </c>
      <c r="I52" s="8">
        <f>VLOOKUP($E52,'[1]Master File'!$A:$F,6,0)*$F52</f>
        <v>541.31000000000006</v>
      </c>
    </row>
    <row r="53" spans="1:9" x14ac:dyDescent="0.3">
      <c r="A53" s="6">
        <v>44258</v>
      </c>
      <c r="B53" s="6" t="s">
        <v>128</v>
      </c>
      <c r="C53" s="16">
        <v>3</v>
      </c>
      <c r="D53" s="6" t="s">
        <v>114</v>
      </c>
      <c r="E53" s="7" t="s">
        <v>32</v>
      </c>
      <c r="F53" s="8">
        <v>1</v>
      </c>
      <c r="G53" s="8" t="s">
        <v>115</v>
      </c>
      <c r="H53" s="8">
        <f>VLOOKUP(E53,'[1]Master File'!$A:$F,5,0)*F53</f>
        <v>44</v>
      </c>
      <c r="I53" s="8">
        <f>VLOOKUP($E53,'[1]Master File'!$A:$F,6,0)*$F53</f>
        <v>48.4</v>
      </c>
    </row>
    <row r="54" spans="1:9" x14ac:dyDescent="0.3">
      <c r="A54" s="6">
        <v>44262</v>
      </c>
      <c r="B54" s="6" t="s">
        <v>128</v>
      </c>
      <c r="C54" s="16">
        <v>7</v>
      </c>
      <c r="D54" s="6" t="s">
        <v>114</v>
      </c>
      <c r="E54" s="7" t="s">
        <v>53</v>
      </c>
      <c r="F54" s="8">
        <v>9</v>
      </c>
      <c r="G54" s="8" t="s">
        <v>117</v>
      </c>
      <c r="H54" s="8">
        <f>VLOOKUP(E54,'[1]Master File'!$A:$F,5,0)*F54</f>
        <v>1134</v>
      </c>
      <c r="I54" s="8">
        <f>VLOOKUP($E54,'[1]Master File'!$A:$F,6,0)*$F54</f>
        <v>1462.86</v>
      </c>
    </row>
    <row r="55" spans="1:9" x14ac:dyDescent="0.3">
      <c r="A55" s="6">
        <v>44263</v>
      </c>
      <c r="B55" s="6" t="s">
        <v>128</v>
      </c>
      <c r="C55" s="16">
        <v>8</v>
      </c>
      <c r="D55" s="6" t="s">
        <v>114</v>
      </c>
      <c r="E55" s="7" t="s">
        <v>66</v>
      </c>
      <c r="F55" s="8">
        <v>6</v>
      </c>
      <c r="G55" s="8" t="s">
        <v>117</v>
      </c>
      <c r="H55" s="8">
        <f>VLOOKUP(E55,'[1]Master File'!$A:$F,5,0)*F55</f>
        <v>288</v>
      </c>
      <c r="I55" s="8">
        <f>VLOOKUP($E55,'[1]Master File'!$A:$F,6,0)*$F55</f>
        <v>342.72</v>
      </c>
    </row>
    <row r="56" spans="1:9" x14ac:dyDescent="0.3">
      <c r="A56" s="6">
        <v>44263</v>
      </c>
      <c r="B56" s="6" t="s">
        <v>128</v>
      </c>
      <c r="C56" s="16">
        <v>8</v>
      </c>
      <c r="D56" s="6" t="s">
        <v>114</v>
      </c>
      <c r="E56" s="7" t="s">
        <v>101</v>
      </c>
      <c r="F56" s="8">
        <v>9</v>
      </c>
      <c r="G56" s="8" t="s">
        <v>115</v>
      </c>
      <c r="H56" s="8">
        <f>VLOOKUP(E56,'[1]Master File'!$A:$F,5,0)*F56</f>
        <v>684</v>
      </c>
      <c r="I56" s="8">
        <f>VLOOKUP($E56,'[1]Master File'!$A:$F,6,0)*$F56</f>
        <v>738.72</v>
      </c>
    </row>
    <row r="57" spans="1:9" x14ac:dyDescent="0.3">
      <c r="A57" s="6">
        <v>44264</v>
      </c>
      <c r="B57" s="6" t="s">
        <v>128</v>
      </c>
      <c r="C57" s="16">
        <v>9</v>
      </c>
      <c r="D57" s="6" t="s">
        <v>114</v>
      </c>
      <c r="E57" s="7" t="s">
        <v>70</v>
      </c>
      <c r="F57" s="8">
        <v>6</v>
      </c>
      <c r="G57" s="8" t="s">
        <v>115</v>
      </c>
      <c r="H57" s="8">
        <f>VLOOKUP(E57,'[1]Master File'!$A:$F,5,0)*F57</f>
        <v>282</v>
      </c>
      <c r="I57" s="8">
        <f>VLOOKUP($E57,'[1]Master File'!$A:$F,6,0)*$F57</f>
        <v>318.65999999999997</v>
      </c>
    </row>
    <row r="58" spans="1:9" x14ac:dyDescent="0.3">
      <c r="A58" s="6">
        <v>44266</v>
      </c>
      <c r="B58" s="6" t="s">
        <v>128</v>
      </c>
      <c r="C58" s="16">
        <v>11</v>
      </c>
      <c r="D58" s="6" t="s">
        <v>114</v>
      </c>
      <c r="E58" s="7" t="s">
        <v>61</v>
      </c>
      <c r="F58" s="8">
        <v>11</v>
      </c>
      <c r="G58" s="8" t="s">
        <v>117</v>
      </c>
      <c r="H58" s="8">
        <f>VLOOKUP(E58,'[1]Master File'!$A:$F,5,0)*F58</f>
        <v>77</v>
      </c>
      <c r="I58" s="8">
        <f>VLOOKUP($E58,'[1]Master File'!$A:$F,6,0)*$F58</f>
        <v>91.63</v>
      </c>
    </row>
    <row r="59" spans="1:9" x14ac:dyDescent="0.3">
      <c r="A59" s="6">
        <v>44268</v>
      </c>
      <c r="B59" s="6" t="s">
        <v>128</v>
      </c>
      <c r="C59" s="16">
        <v>13</v>
      </c>
      <c r="D59" s="6" t="s">
        <v>114</v>
      </c>
      <c r="E59" s="7" t="s">
        <v>68</v>
      </c>
      <c r="F59" s="8">
        <v>10</v>
      </c>
      <c r="G59" s="8" t="s">
        <v>117</v>
      </c>
      <c r="H59" s="8">
        <f>VLOOKUP(E59,'[1]Master File'!$A:$F,5,0)*F59</f>
        <v>370</v>
      </c>
      <c r="I59" s="8">
        <f>VLOOKUP($E59,'[1]Master File'!$A:$F,6,0)*$F59</f>
        <v>418.1</v>
      </c>
    </row>
    <row r="60" spans="1:9" x14ac:dyDescent="0.3">
      <c r="A60" s="6">
        <v>44270</v>
      </c>
      <c r="B60" s="6" t="s">
        <v>128</v>
      </c>
      <c r="C60" s="16">
        <v>15</v>
      </c>
      <c r="D60" s="6" t="s">
        <v>114</v>
      </c>
      <c r="E60" s="7" t="s">
        <v>91</v>
      </c>
      <c r="F60" s="8">
        <v>11</v>
      </c>
      <c r="G60" s="8" t="s">
        <v>117</v>
      </c>
      <c r="H60" s="8">
        <f>VLOOKUP(E60,'[1]Master File'!$A:$F,5,0)*F60</f>
        <v>407</v>
      </c>
      <c r="I60" s="8">
        <f>VLOOKUP($E60,'[1]Master File'!$A:$F,6,0)*$F60</f>
        <v>468.04999999999995</v>
      </c>
    </row>
    <row r="61" spans="1:9" x14ac:dyDescent="0.3">
      <c r="A61" s="6">
        <v>44271</v>
      </c>
      <c r="B61" s="6" t="s">
        <v>128</v>
      </c>
      <c r="C61" s="16">
        <v>16</v>
      </c>
      <c r="D61" s="6" t="s">
        <v>114</v>
      </c>
      <c r="E61" s="7" t="s">
        <v>34</v>
      </c>
      <c r="F61" s="8">
        <v>14</v>
      </c>
      <c r="G61" s="8" t="s">
        <v>117</v>
      </c>
      <c r="H61" s="8">
        <f>VLOOKUP(E61,'[1]Master File'!$A:$F,5,0)*F61</f>
        <v>1022</v>
      </c>
      <c r="I61" s="8">
        <f>VLOOKUP($E61,'[1]Master File'!$A:$F,6,0)*$F61</f>
        <v>1318.38</v>
      </c>
    </row>
    <row r="62" spans="1:9" x14ac:dyDescent="0.3">
      <c r="A62" s="6">
        <v>44273</v>
      </c>
      <c r="B62" s="6" t="s">
        <v>128</v>
      </c>
      <c r="C62" s="16">
        <v>18</v>
      </c>
      <c r="D62" s="6" t="s">
        <v>114</v>
      </c>
      <c r="E62" s="7" t="s">
        <v>97</v>
      </c>
      <c r="F62" s="8">
        <v>8</v>
      </c>
      <c r="G62" s="8" t="s">
        <v>117</v>
      </c>
      <c r="H62" s="8">
        <f>VLOOKUP(E62,'[1]Master File'!$A:$F,5,0)*F62</f>
        <v>960</v>
      </c>
      <c r="I62" s="8">
        <f>VLOOKUP($E62,'[1]Master File'!$A:$F,6,0)*$F62</f>
        <v>1296</v>
      </c>
    </row>
    <row r="63" spans="1:9" x14ac:dyDescent="0.3">
      <c r="A63" s="6">
        <v>44274</v>
      </c>
      <c r="B63" s="6" t="s">
        <v>128</v>
      </c>
      <c r="C63" s="16">
        <v>19</v>
      </c>
      <c r="D63" s="6" t="s">
        <v>114</v>
      </c>
      <c r="E63" s="7" t="s">
        <v>68</v>
      </c>
      <c r="F63" s="8">
        <v>9</v>
      </c>
      <c r="G63" s="8" t="s">
        <v>117</v>
      </c>
      <c r="H63" s="8">
        <f>VLOOKUP(E63,'[1]Master File'!$A:$F,5,0)*F63</f>
        <v>333</v>
      </c>
      <c r="I63" s="8">
        <f>VLOOKUP($E63,'[1]Master File'!$A:$F,6,0)*$F63</f>
        <v>376.29</v>
      </c>
    </row>
    <row r="64" spans="1:9" x14ac:dyDescent="0.3">
      <c r="A64" s="6">
        <v>44276</v>
      </c>
      <c r="B64" s="6" t="s">
        <v>128</v>
      </c>
      <c r="C64" s="16">
        <v>21</v>
      </c>
      <c r="D64" s="6" t="s">
        <v>114</v>
      </c>
      <c r="E64" s="7" t="s">
        <v>50</v>
      </c>
      <c r="F64" s="8">
        <v>13</v>
      </c>
      <c r="G64" s="8" t="s">
        <v>115</v>
      </c>
      <c r="H64" s="8">
        <f>VLOOKUP(E64,'[1]Master File'!$A:$F,5,0)*F64</f>
        <v>793</v>
      </c>
      <c r="I64" s="8">
        <f>VLOOKUP($E64,'[1]Master File'!$A:$F,6,0)*$F64</f>
        <v>991.25</v>
      </c>
    </row>
    <row r="65" spans="1:9" x14ac:dyDescent="0.3">
      <c r="A65" s="6">
        <v>44276</v>
      </c>
      <c r="B65" s="6" t="s">
        <v>128</v>
      </c>
      <c r="C65" s="16">
        <v>21</v>
      </c>
      <c r="D65" s="6" t="s">
        <v>114</v>
      </c>
      <c r="E65" s="7" t="s">
        <v>91</v>
      </c>
      <c r="F65" s="8">
        <v>7</v>
      </c>
      <c r="G65" s="8" t="s">
        <v>115</v>
      </c>
      <c r="H65" s="8">
        <f>VLOOKUP(E65,'[1]Master File'!$A:$F,5,0)*F65</f>
        <v>259</v>
      </c>
      <c r="I65" s="8">
        <f>VLOOKUP($E65,'[1]Master File'!$A:$F,6,0)*$F65</f>
        <v>297.84999999999997</v>
      </c>
    </row>
    <row r="66" spans="1:9" x14ac:dyDescent="0.3">
      <c r="A66" s="6">
        <v>44277</v>
      </c>
      <c r="B66" s="6" t="s">
        <v>128</v>
      </c>
      <c r="C66" s="16">
        <v>22</v>
      </c>
      <c r="D66" s="6" t="s">
        <v>114</v>
      </c>
      <c r="E66" s="7" t="s">
        <v>10</v>
      </c>
      <c r="F66" s="8">
        <v>8</v>
      </c>
      <c r="G66" s="8" t="s">
        <v>115</v>
      </c>
      <c r="H66" s="8">
        <f>VLOOKUP(E66,'[1]Master File'!$A:$F,5,0)*F66</f>
        <v>840</v>
      </c>
      <c r="I66" s="8">
        <f>VLOOKUP($E66,'[1]Master File'!$A:$F,6,0)*$F66</f>
        <v>1142.4000000000001</v>
      </c>
    </row>
    <row r="67" spans="1:9" x14ac:dyDescent="0.3">
      <c r="A67" s="6">
        <v>44277</v>
      </c>
      <c r="B67" s="6" t="s">
        <v>128</v>
      </c>
      <c r="C67" s="16">
        <v>22</v>
      </c>
      <c r="D67" s="6" t="s">
        <v>114</v>
      </c>
      <c r="E67" s="7" t="s">
        <v>34</v>
      </c>
      <c r="F67" s="8">
        <v>4</v>
      </c>
      <c r="G67" s="8" t="s">
        <v>115</v>
      </c>
      <c r="H67" s="8">
        <f>VLOOKUP(E67,'[1]Master File'!$A:$F,5,0)*F67</f>
        <v>292</v>
      </c>
      <c r="I67" s="8">
        <f>VLOOKUP($E67,'[1]Master File'!$A:$F,6,0)*$F67</f>
        <v>376.68</v>
      </c>
    </row>
    <row r="68" spans="1:9" x14ac:dyDescent="0.3">
      <c r="A68" s="6">
        <v>44280</v>
      </c>
      <c r="B68" s="6" t="s">
        <v>128</v>
      </c>
      <c r="C68" s="16">
        <v>25</v>
      </c>
      <c r="D68" s="6" t="s">
        <v>114</v>
      </c>
      <c r="E68" s="7" t="s">
        <v>59</v>
      </c>
      <c r="F68" s="8">
        <v>14</v>
      </c>
      <c r="G68" s="8" t="s">
        <v>117</v>
      </c>
      <c r="H68" s="8">
        <f>VLOOKUP(E68,'[1]Master File'!$A:$F,5,0)*F68</f>
        <v>2016</v>
      </c>
      <c r="I68" s="8">
        <f>VLOOKUP($E68,'[1]Master File'!$A:$F,6,0)*$F68</f>
        <v>2197.44</v>
      </c>
    </row>
    <row r="69" spans="1:9" x14ac:dyDescent="0.3">
      <c r="A69" s="6">
        <v>44280</v>
      </c>
      <c r="B69" s="6" t="s">
        <v>128</v>
      </c>
      <c r="C69" s="16">
        <v>25</v>
      </c>
      <c r="D69" s="6" t="s">
        <v>114</v>
      </c>
      <c r="E69" s="7" t="s">
        <v>20</v>
      </c>
      <c r="F69" s="8">
        <v>4</v>
      </c>
      <c r="G69" s="8" t="s">
        <v>117</v>
      </c>
      <c r="H69" s="8">
        <f>VLOOKUP(E69,'[1]Master File'!$A:$F,5,0)*F69</f>
        <v>300</v>
      </c>
      <c r="I69" s="8">
        <f>VLOOKUP($E69,'[1]Master File'!$A:$F,6,0)*$F69</f>
        <v>342</v>
      </c>
    </row>
    <row r="70" spans="1:9" x14ac:dyDescent="0.3">
      <c r="A70" s="6">
        <v>44280</v>
      </c>
      <c r="B70" s="6" t="s">
        <v>128</v>
      </c>
      <c r="C70" s="16">
        <v>25</v>
      </c>
      <c r="D70" s="6" t="s">
        <v>114</v>
      </c>
      <c r="E70" s="7" t="s">
        <v>70</v>
      </c>
      <c r="F70" s="8">
        <v>8</v>
      </c>
      <c r="G70" s="8" t="s">
        <v>117</v>
      </c>
      <c r="H70" s="8">
        <f>VLOOKUP(E70,'[1]Master File'!$A:$F,5,0)*F70</f>
        <v>376</v>
      </c>
      <c r="I70" s="8">
        <f>VLOOKUP($E70,'[1]Master File'!$A:$F,6,0)*$F70</f>
        <v>424.88</v>
      </c>
    </row>
    <row r="71" spans="1:9" x14ac:dyDescent="0.3">
      <c r="A71" s="6">
        <v>44280</v>
      </c>
      <c r="B71" s="6" t="s">
        <v>128</v>
      </c>
      <c r="C71" s="16">
        <v>25</v>
      </c>
      <c r="D71" s="6" t="s">
        <v>114</v>
      </c>
      <c r="E71" s="7" t="s">
        <v>89</v>
      </c>
      <c r="F71" s="8">
        <v>2</v>
      </c>
      <c r="G71" s="8" t="s">
        <v>115</v>
      </c>
      <c r="H71" s="8">
        <f>VLOOKUP(E71,'[1]Master File'!$A:$F,5,0)*F71</f>
        <v>144</v>
      </c>
      <c r="I71" s="8">
        <f>VLOOKUP($E71,'[1]Master File'!$A:$F,6,0)*$F71</f>
        <v>159.84</v>
      </c>
    </row>
    <row r="72" spans="1:9" x14ac:dyDescent="0.3">
      <c r="A72" s="6">
        <v>44281</v>
      </c>
      <c r="B72" s="6" t="s">
        <v>128</v>
      </c>
      <c r="C72" s="16">
        <v>26</v>
      </c>
      <c r="D72" s="6" t="s">
        <v>114</v>
      </c>
      <c r="E72" s="7" t="s">
        <v>6</v>
      </c>
      <c r="F72" s="8">
        <v>4</v>
      </c>
      <c r="G72" s="8" t="s">
        <v>117</v>
      </c>
      <c r="H72" s="8">
        <f>VLOOKUP(E72,'[1]Master File'!$A:$F,5,0)*F72</f>
        <v>392</v>
      </c>
      <c r="I72" s="8">
        <f>VLOOKUP($E72,'[1]Master File'!$A:$F,6,0)*$F72</f>
        <v>415.52</v>
      </c>
    </row>
    <row r="73" spans="1:9" x14ac:dyDescent="0.3">
      <c r="A73" s="6">
        <v>44281</v>
      </c>
      <c r="B73" s="6" t="s">
        <v>128</v>
      </c>
      <c r="C73" s="16">
        <v>26</v>
      </c>
      <c r="D73" s="6" t="s">
        <v>114</v>
      </c>
      <c r="E73" s="7" t="s">
        <v>97</v>
      </c>
      <c r="F73" s="8">
        <v>1</v>
      </c>
      <c r="G73" s="8" t="s">
        <v>117</v>
      </c>
      <c r="H73" s="8">
        <f>VLOOKUP(E73,'[1]Master File'!$A:$F,5,0)*F73</f>
        <v>120</v>
      </c>
      <c r="I73" s="8">
        <f>VLOOKUP($E73,'[1]Master File'!$A:$F,6,0)*$F73</f>
        <v>162</v>
      </c>
    </row>
    <row r="74" spans="1:9" x14ac:dyDescent="0.3">
      <c r="A74" s="6">
        <v>44281</v>
      </c>
      <c r="B74" s="6" t="s">
        <v>128</v>
      </c>
      <c r="C74" s="16">
        <v>26</v>
      </c>
      <c r="D74" s="6" t="s">
        <v>114</v>
      </c>
      <c r="E74" s="7" t="s">
        <v>29</v>
      </c>
      <c r="F74" s="8">
        <v>9</v>
      </c>
      <c r="G74" s="8" t="s">
        <v>115</v>
      </c>
      <c r="H74" s="8">
        <f>VLOOKUP(E74,'[1]Master File'!$A:$F,5,0)*F74</f>
        <v>1332</v>
      </c>
      <c r="I74" s="8">
        <f>VLOOKUP($E74,'[1]Master File'!$A:$F,6,0)*$F74</f>
        <v>1478.52</v>
      </c>
    </row>
    <row r="75" spans="1:9" x14ac:dyDescent="0.3">
      <c r="A75" s="6">
        <v>44282</v>
      </c>
      <c r="B75" s="6" t="s">
        <v>128</v>
      </c>
      <c r="C75" s="16">
        <v>27</v>
      </c>
      <c r="D75" s="6" t="s">
        <v>114</v>
      </c>
      <c r="E75" s="7" t="s">
        <v>72</v>
      </c>
      <c r="F75" s="8">
        <v>3</v>
      </c>
      <c r="G75" s="8" t="s">
        <v>115</v>
      </c>
      <c r="H75" s="8">
        <f>VLOOKUP(E75,'[1]Master File'!$A:$F,5,0)*F75</f>
        <v>444</v>
      </c>
      <c r="I75" s="8">
        <f>VLOOKUP($E75,'[1]Master File'!$A:$F,6,0)*$F75</f>
        <v>603.84</v>
      </c>
    </row>
    <row r="76" spans="1:9" x14ac:dyDescent="0.3">
      <c r="A76" s="6">
        <v>44283</v>
      </c>
      <c r="B76" s="6" t="s">
        <v>128</v>
      </c>
      <c r="C76" s="16">
        <v>28</v>
      </c>
      <c r="D76" s="6" t="s">
        <v>114</v>
      </c>
      <c r="E76" s="7" t="s">
        <v>22</v>
      </c>
      <c r="F76" s="8">
        <v>8</v>
      </c>
      <c r="G76" s="8" t="s">
        <v>117</v>
      </c>
      <c r="H76" s="8">
        <f>VLOOKUP(E76,'[1]Master File'!$A:$F,5,0)*F76</f>
        <v>344</v>
      </c>
      <c r="I76" s="8">
        <f>VLOOKUP($E76,'[1]Master File'!$A:$F,6,0)*$F76</f>
        <v>381.84000000000003</v>
      </c>
    </row>
    <row r="77" spans="1:9" x14ac:dyDescent="0.3">
      <c r="A77" s="6">
        <v>44285</v>
      </c>
      <c r="B77" s="6" t="s">
        <v>128</v>
      </c>
      <c r="C77" s="16">
        <v>30</v>
      </c>
      <c r="D77" s="6" t="s">
        <v>114</v>
      </c>
      <c r="E77" s="7" t="s">
        <v>89</v>
      </c>
      <c r="F77" s="8">
        <v>1</v>
      </c>
      <c r="G77" s="8" t="s">
        <v>117</v>
      </c>
      <c r="H77" s="8">
        <f>VLOOKUP(E77,'[1]Master File'!$A:$F,5,0)*F77</f>
        <v>72</v>
      </c>
      <c r="I77" s="8">
        <f>VLOOKUP($E77,'[1]Master File'!$A:$F,6,0)*$F77</f>
        <v>79.92</v>
      </c>
    </row>
    <row r="78" spans="1:9" x14ac:dyDescent="0.3">
      <c r="A78" s="6">
        <v>44286</v>
      </c>
      <c r="B78" s="6" t="s">
        <v>128</v>
      </c>
      <c r="C78" s="16">
        <v>31</v>
      </c>
      <c r="D78" s="6" t="s">
        <v>114</v>
      </c>
      <c r="E78" s="7" t="s">
        <v>97</v>
      </c>
      <c r="F78" s="8">
        <v>3</v>
      </c>
      <c r="G78" s="8" t="s">
        <v>117</v>
      </c>
      <c r="H78" s="8">
        <f>VLOOKUP(E78,'[1]Master File'!$A:$F,5,0)*F78</f>
        <v>360</v>
      </c>
      <c r="I78" s="8">
        <f>VLOOKUP($E78,'[1]Master File'!$A:$F,6,0)*$F78</f>
        <v>486</v>
      </c>
    </row>
    <row r="79" spans="1:9" x14ac:dyDescent="0.3">
      <c r="A79" s="6">
        <v>44290</v>
      </c>
      <c r="B79" s="6" t="s">
        <v>129</v>
      </c>
      <c r="C79" s="16">
        <v>4</v>
      </c>
      <c r="D79" s="6" t="s">
        <v>114</v>
      </c>
      <c r="E79" s="7" t="s">
        <v>93</v>
      </c>
      <c r="F79" s="8">
        <v>4</v>
      </c>
      <c r="G79" s="8" t="s">
        <v>117</v>
      </c>
      <c r="H79" s="8">
        <f>VLOOKUP(E79,'[1]Master File'!$A:$F,5,0)*F79</f>
        <v>360</v>
      </c>
      <c r="I79" s="8">
        <f>VLOOKUP($E79,'[1]Master File'!$A:$F,6,0)*$F79</f>
        <v>460.8</v>
      </c>
    </row>
    <row r="80" spans="1:9" x14ac:dyDescent="0.3">
      <c r="A80" s="6">
        <v>44290</v>
      </c>
      <c r="B80" s="6" t="s">
        <v>129</v>
      </c>
      <c r="C80" s="16">
        <v>4</v>
      </c>
      <c r="D80" s="6" t="s">
        <v>114</v>
      </c>
      <c r="E80" s="7" t="s">
        <v>26</v>
      </c>
      <c r="F80" s="8">
        <v>9</v>
      </c>
      <c r="G80" s="8" t="s">
        <v>117</v>
      </c>
      <c r="H80" s="8">
        <f>VLOOKUP(E80,'[1]Master File'!$A:$F,5,0)*F80</f>
        <v>54</v>
      </c>
      <c r="I80" s="8">
        <f>VLOOKUP($E80,'[1]Master File'!$A:$F,6,0)*$F80</f>
        <v>70.739999999999995</v>
      </c>
    </row>
    <row r="81" spans="1:9" x14ac:dyDescent="0.3">
      <c r="A81" s="6">
        <v>44291</v>
      </c>
      <c r="B81" s="6" t="s">
        <v>129</v>
      </c>
      <c r="C81" s="16">
        <v>5</v>
      </c>
      <c r="D81" s="6" t="s">
        <v>114</v>
      </c>
      <c r="E81" s="7" t="s">
        <v>74</v>
      </c>
      <c r="F81" s="8">
        <v>15</v>
      </c>
      <c r="G81" s="8" t="s">
        <v>115</v>
      </c>
      <c r="H81" s="8">
        <f>VLOOKUP(E81,'[1]Master File'!$A:$F,5,0)*F81</f>
        <v>1395</v>
      </c>
      <c r="I81" s="8">
        <f>VLOOKUP($E81,'[1]Master File'!$A:$F,6,0)*$F81</f>
        <v>1562.3999999999999</v>
      </c>
    </row>
    <row r="82" spans="1:9" x14ac:dyDescent="0.3">
      <c r="A82" s="6">
        <v>44295</v>
      </c>
      <c r="B82" s="6" t="s">
        <v>129</v>
      </c>
      <c r="C82" s="16">
        <v>9</v>
      </c>
      <c r="D82" s="6" t="s">
        <v>114</v>
      </c>
      <c r="E82" s="7" t="s">
        <v>17</v>
      </c>
      <c r="F82" s="8">
        <v>3</v>
      </c>
      <c r="G82" s="8" t="s">
        <v>115</v>
      </c>
      <c r="H82" s="8">
        <f>VLOOKUP(E82,'[1]Master File'!$A:$F,5,0)*F82</f>
        <v>399</v>
      </c>
      <c r="I82" s="8">
        <f>VLOOKUP($E82,'[1]Master File'!$A:$F,6,0)*$F82</f>
        <v>466.83000000000004</v>
      </c>
    </row>
    <row r="83" spans="1:9" x14ac:dyDescent="0.3">
      <c r="A83" s="6">
        <v>44296</v>
      </c>
      <c r="B83" s="6" t="s">
        <v>129</v>
      </c>
      <c r="C83" s="16">
        <v>10</v>
      </c>
      <c r="D83" s="6" t="s">
        <v>114</v>
      </c>
      <c r="E83" s="7" t="s">
        <v>55</v>
      </c>
      <c r="F83" s="8">
        <v>14</v>
      </c>
      <c r="G83" s="8" t="s">
        <v>115</v>
      </c>
      <c r="H83" s="8">
        <f>VLOOKUP(E83,'[1]Master File'!$A:$F,5,0)*F83</f>
        <v>1694</v>
      </c>
      <c r="I83" s="8">
        <f>VLOOKUP($E83,'[1]Master File'!$A:$F,6,0)*$F83</f>
        <v>1981.98</v>
      </c>
    </row>
    <row r="84" spans="1:9" x14ac:dyDescent="0.3">
      <c r="A84" s="6">
        <v>44298</v>
      </c>
      <c r="B84" s="6" t="s">
        <v>129</v>
      </c>
      <c r="C84" s="16">
        <v>12</v>
      </c>
      <c r="D84" s="6" t="s">
        <v>114</v>
      </c>
      <c r="E84" s="7" t="s">
        <v>86</v>
      </c>
      <c r="F84" s="8">
        <v>3</v>
      </c>
      <c r="G84" s="8" t="s">
        <v>117</v>
      </c>
      <c r="H84" s="8">
        <f>VLOOKUP(E84,'[1]Master File'!$A:$F,5,0)*F84</f>
        <v>201</v>
      </c>
      <c r="I84" s="8">
        <f>VLOOKUP($E84,'[1]Master File'!$A:$F,6,0)*$F84</f>
        <v>257.28000000000003</v>
      </c>
    </row>
    <row r="85" spans="1:9" x14ac:dyDescent="0.3">
      <c r="A85" s="6">
        <v>44298</v>
      </c>
      <c r="B85" s="6" t="s">
        <v>129</v>
      </c>
      <c r="C85" s="16">
        <v>12</v>
      </c>
      <c r="D85" s="6" t="s">
        <v>114</v>
      </c>
      <c r="E85" s="7" t="s">
        <v>70</v>
      </c>
      <c r="F85" s="8">
        <v>4</v>
      </c>
      <c r="G85" s="8" t="s">
        <v>115</v>
      </c>
      <c r="H85" s="8">
        <f>VLOOKUP(E85,'[1]Master File'!$A:$F,5,0)*F85</f>
        <v>188</v>
      </c>
      <c r="I85" s="8">
        <f>VLOOKUP($E85,'[1]Master File'!$A:$F,6,0)*$F85</f>
        <v>212.44</v>
      </c>
    </row>
    <row r="86" spans="1:9" x14ac:dyDescent="0.3">
      <c r="A86" s="6">
        <v>44298</v>
      </c>
      <c r="B86" s="6" t="s">
        <v>129</v>
      </c>
      <c r="C86" s="16">
        <v>12</v>
      </c>
      <c r="D86" s="6" t="s">
        <v>114</v>
      </c>
      <c r="E86" s="7" t="s">
        <v>66</v>
      </c>
      <c r="F86" s="8">
        <v>9</v>
      </c>
      <c r="G86" s="8" t="s">
        <v>115</v>
      </c>
      <c r="H86" s="8">
        <f>VLOOKUP(E86,'[1]Master File'!$A:$F,5,0)*F86</f>
        <v>432</v>
      </c>
      <c r="I86" s="8">
        <f>VLOOKUP($E86,'[1]Master File'!$A:$F,6,0)*$F86</f>
        <v>514.08000000000004</v>
      </c>
    </row>
    <row r="87" spans="1:9" x14ac:dyDescent="0.3">
      <c r="A87" s="6">
        <v>44298</v>
      </c>
      <c r="B87" s="6" t="s">
        <v>129</v>
      </c>
      <c r="C87" s="16">
        <v>12</v>
      </c>
      <c r="D87" s="6" t="s">
        <v>114</v>
      </c>
      <c r="E87" s="7" t="s">
        <v>78</v>
      </c>
      <c r="F87" s="8">
        <v>13</v>
      </c>
      <c r="G87" s="8" t="s">
        <v>117</v>
      </c>
      <c r="H87" s="8">
        <f>VLOOKUP(E87,'[1]Master File'!$A:$F,5,0)*F87</f>
        <v>1235</v>
      </c>
      <c r="I87" s="8">
        <f>VLOOKUP($E87,'[1]Master File'!$A:$F,6,0)*$F87</f>
        <v>1556.1000000000001</v>
      </c>
    </row>
    <row r="88" spans="1:9" x14ac:dyDescent="0.3">
      <c r="A88" s="6">
        <v>44301</v>
      </c>
      <c r="B88" s="6" t="s">
        <v>129</v>
      </c>
      <c r="C88" s="16">
        <v>15</v>
      </c>
      <c r="D88" s="6" t="s">
        <v>114</v>
      </c>
      <c r="E88" s="7" t="s">
        <v>44</v>
      </c>
      <c r="F88" s="8">
        <v>3</v>
      </c>
      <c r="G88" s="8" t="s">
        <v>115</v>
      </c>
      <c r="H88" s="8">
        <f>VLOOKUP(E88,'[1]Master File'!$A:$F,5,0)*F88</f>
        <v>402</v>
      </c>
      <c r="I88" s="8">
        <f>VLOOKUP($E88,'[1]Master File'!$A:$F,6,0)*$F88</f>
        <v>470.34000000000003</v>
      </c>
    </row>
    <row r="89" spans="1:9" x14ac:dyDescent="0.3">
      <c r="A89" s="6">
        <v>44302</v>
      </c>
      <c r="B89" s="6" t="s">
        <v>129</v>
      </c>
      <c r="C89" s="16">
        <v>16</v>
      </c>
      <c r="D89" s="6" t="s">
        <v>114</v>
      </c>
      <c r="E89" s="7" t="s">
        <v>46</v>
      </c>
      <c r="F89" s="8">
        <v>15</v>
      </c>
      <c r="G89" s="8" t="s">
        <v>117</v>
      </c>
      <c r="H89" s="8">
        <f>VLOOKUP(E89,'[1]Master File'!$A:$F,5,0)*F89</f>
        <v>555</v>
      </c>
      <c r="I89" s="8">
        <f>VLOOKUP($E89,'[1]Master File'!$A:$F,6,0)*$F89</f>
        <v>738.15</v>
      </c>
    </row>
    <row r="90" spans="1:9" x14ac:dyDescent="0.3">
      <c r="A90" s="6">
        <v>44304</v>
      </c>
      <c r="B90" s="6" t="s">
        <v>129</v>
      </c>
      <c r="C90" s="16">
        <v>18</v>
      </c>
      <c r="D90" s="6" t="s">
        <v>114</v>
      </c>
      <c r="E90" s="7" t="s">
        <v>89</v>
      </c>
      <c r="F90" s="8">
        <v>9</v>
      </c>
      <c r="G90" s="8" t="s">
        <v>115</v>
      </c>
      <c r="H90" s="8">
        <f>VLOOKUP(E90,'[1]Master File'!$A:$F,5,0)*F90</f>
        <v>648</v>
      </c>
      <c r="I90" s="8">
        <f>VLOOKUP($E90,'[1]Master File'!$A:$F,6,0)*$F90</f>
        <v>719.28</v>
      </c>
    </row>
    <row r="91" spans="1:9" x14ac:dyDescent="0.3">
      <c r="A91" s="6">
        <v>44304</v>
      </c>
      <c r="B91" s="6" t="s">
        <v>129</v>
      </c>
      <c r="C91" s="16">
        <v>18</v>
      </c>
      <c r="D91" s="6" t="s">
        <v>114</v>
      </c>
      <c r="E91" s="7" t="s">
        <v>48</v>
      </c>
      <c r="F91" s="8">
        <v>13</v>
      </c>
      <c r="G91" s="8" t="s">
        <v>117</v>
      </c>
      <c r="H91" s="8">
        <f>VLOOKUP(E91,'[1]Master File'!$A:$F,5,0)*F91</f>
        <v>1950</v>
      </c>
      <c r="I91" s="8">
        <f>VLOOKUP($E91,'[1]Master File'!$A:$F,6,0)*$F91</f>
        <v>2730</v>
      </c>
    </row>
    <row r="92" spans="1:9" x14ac:dyDescent="0.3">
      <c r="A92" s="6">
        <v>44309</v>
      </c>
      <c r="B92" s="6" t="s">
        <v>129</v>
      </c>
      <c r="C92" s="16">
        <v>23</v>
      </c>
      <c r="D92" s="6" t="s">
        <v>114</v>
      </c>
      <c r="E92" s="7" t="s">
        <v>97</v>
      </c>
      <c r="F92" s="8">
        <v>6</v>
      </c>
      <c r="G92" s="8" t="s">
        <v>115</v>
      </c>
      <c r="H92" s="8">
        <f>VLOOKUP(E92,'[1]Master File'!$A:$F,5,0)*F92</f>
        <v>720</v>
      </c>
      <c r="I92" s="8">
        <f>VLOOKUP($E92,'[1]Master File'!$A:$F,6,0)*$F92</f>
        <v>972</v>
      </c>
    </row>
    <row r="93" spans="1:9" x14ac:dyDescent="0.3">
      <c r="A93" s="6">
        <v>44309</v>
      </c>
      <c r="B93" s="6" t="s">
        <v>129</v>
      </c>
      <c r="C93" s="16">
        <v>23</v>
      </c>
      <c r="D93" s="6" t="s">
        <v>114</v>
      </c>
      <c r="E93" s="7" t="s">
        <v>68</v>
      </c>
      <c r="F93" s="8">
        <v>10</v>
      </c>
      <c r="G93" s="8" t="s">
        <v>115</v>
      </c>
      <c r="H93" s="8">
        <f>VLOOKUP(E93,'[1]Master File'!$A:$F,5,0)*F93</f>
        <v>370</v>
      </c>
      <c r="I93" s="8">
        <f>VLOOKUP($E93,'[1]Master File'!$A:$F,6,0)*$F93</f>
        <v>418.1</v>
      </c>
    </row>
    <row r="94" spans="1:9" x14ac:dyDescent="0.3">
      <c r="A94" s="6">
        <v>44310</v>
      </c>
      <c r="B94" s="6" t="s">
        <v>129</v>
      </c>
      <c r="C94" s="16">
        <v>24</v>
      </c>
      <c r="D94" s="6" t="s">
        <v>114</v>
      </c>
      <c r="E94" s="7" t="s">
        <v>72</v>
      </c>
      <c r="F94" s="8">
        <v>2</v>
      </c>
      <c r="G94" s="8" t="s">
        <v>115</v>
      </c>
      <c r="H94" s="8">
        <f>VLOOKUP(E94,'[1]Master File'!$A:$F,5,0)*F94</f>
        <v>296</v>
      </c>
      <c r="I94" s="8">
        <f>VLOOKUP($E94,'[1]Master File'!$A:$F,6,0)*$F94</f>
        <v>402.56</v>
      </c>
    </row>
    <row r="95" spans="1:9" x14ac:dyDescent="0.3">
      <c r="A95" s="6">
        <v>44312</v>
      </c>
      <c r="B95" s="6" t="s">
        <v>129</v>
      </c>
      <c r="C95" s="16">
        <v>26</v>
      </c>
      <c r="D95" s="6" t="s">
        <v>114</v>
      </c>
      <c r="E95" s="7" t="s">
        <v>86</v>
      </c>
      <c r="F95" s="8">
        <v>3</v>
      </c>
      <c r="G95" s="8" t="s">
        <v>115</v>
      </c>
      <c r="H95" s="8">
        <f>VLOOKUP(E95,'[1]Master File'!$A:$F,5,0)*F95</f>
        <v>201</v>
      </c>
      <c r="I95" s="8">
        <f>VLOOKUP($E95,'[1]Master File'!$A:$F,6,0)*$F95</f>
        <v>257.28000000000003</v>
      </c>
    </row>
    <row r="96" spans="1:9" x14ac:dyDescent="0.3">
      <c r="A96" s="6">
        <v>44315</v>
      </c>
      <c r="B96" s="6" t="s">
        <v>129</v>
      </c>
      <c r="C96" s="16">
        <v>29</v>
      </c>
      <c r="D96" s="6" t="s">
        <v>114</v>
      </c>
      <c r="E96" s="7" t="s">
        <v>72</v>
      </c>
      <c r="F96" s="8">
        <v>7</v>
      </c>
      <c r="G96" s="8" t="s">
        <v>115</v>
      </c>
      <c r="H96" s="8">
        <f>VLOOKUP(E96,'[1]Master File'!$A:$F,5,0)*F96</f>
        <v>1036</v>
      </c>
      <c r="I96" s="8">
        <f>VLOOKUP($E96,'[1]Master File'!$A:$F,6,0)*$F96</f>
        <v>1408.96</v>
      </c>
    </row>
    <row r="97" spans="1:9" x14ac:dyDescent="0.3">
      <c r="A97" s="6">
        <v>44316</v>
      </c>
      <c r="B97" s="6" t="s">
        <v>129</v>
      </c>
      <c r="C97" s="16">
        <v>30</v>
      </c>
      <c r="D97" s="6" t="s">
        <v>114</v>
      </c>
      <c r="E97" s="7" t="s">
        <v>70</v>
      </c>
      <c r="F97" s="8">
        <v>1</v>
      </c>
      <c r="G97" s="8" t="s">
        <v>115</v>
      </c>
      <c r="H97" s="8">
        <f>VLOOKUP(E97,'[1]Master File'!$A:$F,5,0)*F97</f>
        <v>47</v>
      </c>
      <c r="I97" s="8">
        <f>VLOOKUP($E97,'[1]Master File'!$A:$F,6,0)*$F97</f>
        <v>53.11</v>
      </c>
    </row>
    <row r="98" spans="1:9" x14ac:dyDescent="0.3">
      <c r="A98" s="6">
        <v>44317</v>
      </c>
      <c r="B98" s="6" t="s">
        <v>130</v>
      </c>
      <c r="C98" s="16">
        <v>1</v>
      </c>
      <c r="D98" s="6" t="s">
        <v>114</v>
      </c>
      <c r="E98" s="7" t="s">
        <v>46</v>
      </c>
      <c r="F98" s="8">
        <v>3</v>
      </c>
      <c r="G98" s="8" t="s">
        <v>117</v>
      </c>
      <c r="H98" s="8">
        <f>VLOOKUP(E98,'[1]Master File'!$A:$F,5,0)*F98</f>
        <v>111</v>
      </c>
      <c r="I98" s="8">
        <f>VLOOKUP($E98,'[1]Master File'!$A:$F,6,0)*$F98</f>
        <v>147.63</v>
      </c>
    </row>
    <row r="99" spans="1:9" x14ac:dyDescent="0.3">
      <c r="A99" s="6">
        <v>44317</v>
      </c>
      <c r="B99" s="6" t="s">
        <v>130</v>
      </c>
      <c r="C99" s="16">
        <v>1</v>
      </c>
      <c r="D99" s="6" t="s">
        <v>114</v>
      </c>
      <c r="E99" s="7" t="s">
        <v>97</v>
      </c>
      <c r="F99" s="8">
        <v>1</v>
      </c>
      <c r="G99" s="8" t="s">
        <v>117</v>
      </c>
      <c r="H99" s="8">
        <f>VLOOKUP(E99,'[1]Master File'!$A:$F,5,0)*F99</f>
        <v>120</v>
      </c>
      <c r="I99" s="8">
        <f>VLOOKUP($E99,'[1]Master File'!$A:$F,6,0)*$F99</f>
        <v>162</v>
      </c>
    </row>
    <row r="100" spans="1:9" x14ac:dyDescent="0.3">
      <c r="A100" s="6">
        <v>44319</v>
      </c>
      <c r="B100" s="6" t="s">
        <v>130</v>
      </c>
      <c r="C100" s="16">
        <v>3</v>
      </c>
      <c r="D100" s="6" t="s">
        <v>114</v>
      </c>
      <c r="E100" s="7" t="s">
        <v>80</v>
      </c>
      <c r="F100" s="8">
        <v>3</v>
      </c>
      <c r="G100" s="8" t="s">
        <v>115</v>
      </c>
      <c r="H100" s="8">
        <f>VLOOKUP(E100,'[1]Master File'!$A:$F,5,0)*F100</f>
        <v>165</v>
      </c>
      <c r="I100" s="8">
        <f>VLOOKUP($E100,'[1]Master File'!$A:$F,6,0)*$F100</f>
        <v>174.89999999999998</v>
      </c>
    </row>
    <row r="101" spans="1:9" x14ac:dyDescent="0.3">
      <c r="A101" s="6">
        <v>44320</v>
      </c>
      <c r="B101" s="6" t="s">
        <v>130</v>
      </c>
      <c r="C101" s="16">
        <v>4</v>
      </c>
      <c r="D101" s="6" t="s">
        <v>114</v>
      </c>
      <c r="E101" s="7" t="s">
        <v>40</v>
      </c>
      <c r="F101" s="8">
        <v>13</v>
      </c>
      <c r="G101" s="8" t="s">
        <v>115</v>
      </c>
      <c r="H101" s="8">
        <f>VLOOKUP(E101,'[1]Master File'!$A:$F,5,0)*F101</f>
        <v>156</v>
      </c>
      <c r="I101" s="8">
        <f>VLOOKUP($E101,'[1]Master File'!$A:$F,6,0)*$F101</f>
        <v>204.35999999999999</v>
      </c>
    </row>
    <row r="102" spans="1:9" x14ac:dyDescent="0.3">
      <c r="A102" s="6">
        <v>44320</v>
      </c>
      <c r="B102" s="6" t="s">
        <v>130</v>
      </c>
      <c r="C102" s="16">
        <v>4</v>
      </c>
      <c r="D102" s="6" t="s">
        <v>114</v>
      </c>
      <c r="E102" s="7" t="s">
        <v>38</v>
      </c>
      <c r="F102" s="8">
        <v>4</v>
      </c>
      <c r="G102" s="8" t="s">
        <v>117</v>
      </c>
      <c r="H102" s="8">
        <f>VLOOKUP(E102,'[1]Master File'!$A:$F,5,0)*F102</f>
        <v>448</v>
      </c>
      <c r="I102" s="8">
        <f>VLOOKUP($E102,'[1]Master File'!$A:$F,6,0)*$F102</f>
        <v>586.88</v>
      </c>
    </row>
    <row r="103" spans="1:9" x14ac:dyDescent="0.3">
      <c r="A103" s="6">
        <v>44321</v>
      </c>
      <c r="B103" s="6" t="s">
        <v>130</v>
      </c>
      <c r="C103" s="16">
        <v>5</v>
      </c>
      <c r="D103" s="6" t="s">
        <v>114</v>
      </c>
      <c r="E103" s="7" t="s">
        <v>26</v>
      </c>
      <c r="F103" s="8">
        <v>13</v>
      </c>
      <c r="G103" s="8" t="s">
        <v>117</v>
      </c>
      <c r="H103" s="8">
        <f>VLOOKUP(E103,'[1]Master File'!$A:$F,5,0)*F103</f>
        <v>78</v>
      </c>
      <c r="I103" s="8">
        <f>VLOOKUP($E103,'[1]Master File'!$A:$F,6,0)*$F103</f>
        <v>102.17999999999999</v>
      </c>
    </row>
    <row r="104" spans="1:9" x14ac:dyDescent="0.3">
      <c r="A104" s="6">
        <v>44322</v>
      </c>
      <c r="B104" s="6" t="s">
        <v>130</v>
      </c>
      <c r="C104" s="16">
        <v>6</v>
      </c>
      <c r="D104" s="6" t="s">
        <v>114</v>
      </c>
      <c r="E104" s="7" t="s">
        <v>24</v>
      </c>
      <c r="F104" s="8">
        <v>15</v>
      </c>
      <c r="G104" s="8" t="s">
        <v>115</v>
      </c>
      <c r="H104" s="8">
        <f>VLOOKUP(E104,'[1]Master File'!$A:$F,5,0)*F104</f>
        <v>1245</v>
      </c>
      <c r="I104" s="8">
        <f>VLOOKUP($E104,'[1]Master File'!$A:$F,6,0)*$F104</f>
        <v>1419.3000000000002</v>
      </c>
    </row>
    <row r="105" spans="1:9" x14ac:dyDescent="0.3">
      <c r="A105" s="6">
        <v>44322</v>
      </c>
      <c r="B105" s="6" t="s">
        <v>130</v>
      </c>
      <c r="C105" s="16">
        <v>6</v>
      </c>
      <c r="D105" s="6" t="s">
        <v>114</v>
      </c>
      <c r="E105" s="7" t="s">
        <v>26</v>
      </c>
      <c r="F105" s="8">
        <v>6</v>
      </c>
      <c r="G105" s="8" t="s">
        <v>115</v>
      </c>
      <c r="H105" s="8">
        <f>VLOOKUP(E105,'[1]Master File'!$A:$F,5,0)*F105</f>
        <v>36</v>
      </c>
      <c r="I105" s="8">
        <f>VLOOKUP($E105,'[1]Master File'!$A:$F,6,0)*$F105</f>
        <v>47.16</v>
      </c>
    </row>
    <row r="106" spans="1:9" x14ac:dyDescent="0.3">
      <c r="A106" s="6">
        <v>44323</v>
      </c>
      <c r="B106" s="6" t="s">
        <v>130</v>
      </c>
      <c r="C106" s="16">
        <v>7</v>
      </c>
      <c r="D106" s="6" t="s">
        <v>114</v>
      </c>
      <c r="E106" s="7" t="s">
        <v>46</v>
      </c>
      <c r="F106" s="8">
        <v>1</v>
      </c>
      <c r="G106" s="8" t="s">
        <v>117</v>
      </c>
      <c r="H106" s="8">
        <f>VLOOKUP(E106,'[1]Master File'!$A:$F,5,0)*F106</f>
        <v>37</v>
      </c>
      <c r="I106" s="8">
        <f>VLOOKUP($E106,'[1]Master File'!$A:$F,6,0)*$F106</f>
        <v>49.21</v>
      </c>
    </row>
    <row r="107" spans="1:9" x14ac:dyDescent="0.3">
      <c r="A107" s="6">
        <v>44325</v>
      </c>
      <c r="B107" s="6" t="s">
        <v>130</v>
      </c>
      <c r="C107" s="16">
        <v>9</v>
      </c>
      <c r="D107" s="6" t="s">
        <v>114</v>
      </c>
      <c r="E107" s="7" t="s">
        <v>42</v>
      </c>
      <c r="F107" s="8">
        <v>6</v>
      </c>
      <c r="G107" s="8" t="s">
        <v>115</v>
      </c>
      <c r="H107" s="8">
        <f>VLOOKUP(E107,'[1]Master File'!$A:$F,5,0)*F107</f>
        <v>78</v>
      </c>
      <c r="I107" s="8">
        <f>VLOOKUP($E107,'[1]Master File'!$A:$F,6,0)*$F107</f>
        <v>99.84</v>
      </c>
    </row>
    <row r="108" spans="1:9" x14ac:dyDescent="0.3">
      <c r="A108" s="6">
        <v>44325</v>
      </c>
      <c r="B108" s="6" t="s">
        <v>130</v>
      </c>
      <c r="C108" s="16">
        <v>9</v>
      </c>
      <c r="D108" s="6" t="s">
        <v>114</v>
      </c>
      <c r="E108" s="7" t="s">
        <v>68</v>
      </c>
      <c r="F108" s="8">
        <v>8</v>
      </c>
      <c r="G108" s="8" t="s">
        <v>117</v>
      </c>
      <c r="H108" s="8">
        <f>VLOOKUP(E108,'[1]Master File'!$A:$F,5,0)*F108</f>
        <v>296</v>
      </c>
      <c r="I108" s="8">
        <f>VLOOKUP($E108,'[1]Master File'!$A:$F,6,0)*$F108</f>
        <v>334.48</v>
      </c>
    </row>
    <row r="109" spans="1:9" x14ac:dyDescent="0.3">
      <c r="A109" s="6">
        <v>44328</v>
      </c>
      <c r="B109" s="6" t="s">
        <v>130</v>
      </c>
      <c r="C109" s="16">
        <v>12</v>
      </c>
      <c r="D109" s="6" t="s">
        <v>114</v>
      </c>
      <c r="E109" s="7" t="s">
        <v>42</v>
      </c>
      <c r="F109" s="8">
        <v>3</v>
      </c>
      <c r="G109" s="8" t="s">
        <v>115</v>
      </c>
      <c r="H109" s="8">
        <f>VLOOKUP(E109,'[1]Master File'!$A:$F,5,0)*F109</f>
        <v>39</v>
      </c>
      <c r="I109" s="8">
        <f>VLOOKUP($E109,'[1]Master File'!$A:$F,6,0)*$F109</f>
        <v>49.92</v>
      </c>
    </row>
    <row r="110" spans="1:9" x14ac:dyDescent="0.3">
      <c r="A110" s="6">
        <v>44328</v>
      </c>
      <c r="B110" s="6" t="s">
        <v>130</v>
      </c>
      <c r="C110" s="16">
        <v>12</v>
      </c>
      <c r="D110" s="6" t="s">
        <v>114</v>
      </c>
      <c r="E110" s="7" t="s">
        <v>82</v>
      </c>
      <c r="F110" s="8">
        <v>15</v>
      </c>
      <c r="G110" s="8" t="s">
        <v>115</v>
      </c>
      <c r="H110" s="8">
        <f>VLOOKUP(E110,'[1]Master File'!$A:$F,5,0)*F110</f>
        <v>75</v>
      </c>
      <c r="I110" s="8">
        <f>VLOOKUP($E110,'[1]Master File'!$A:$F,6,0)*$F110</f>
        <v>100.5</v>
      </c>
    </row>
    <row r="111" spans="1:9" x14ac:dyDescent="0.3">
      <c r="A111" s="6">
        <v>44329</v>
      </c>
      <c r="B111" s="6" t="s">
        <v>130</v>
      </c>
      <c r="C111" s="16">
        <v>13</v>
      </c>
      <c r="D111" s="6" t="s">
        <v>114</v>
      </c>
      <c r="E111" s="7" t="s">
        <v>70</v>
      </c>
      <c r="F111" s="8">
        <v>4</v>
      </c>
      <c r="G111" s="8" t="s">
        <v>115</v>
      </c>
      <c r="H111" s="8">
        <f>VLOOKUP(E111,'[1]Master File'!$A:$F,5,0)*F111</f>
        <v>188</v>
      </c>
      <c r="I111" s="8">
        <f>VLOOKUP($E111,'[1]Master File'!$A:$F,6,0)*$F111</f>
        <v>212.44</v>
      </c>
    </row>
    <row r="112" spans="1:9" x14ac:dyDescent="0.3">
      <c r="A112" s="6">
        <v>44336</v>
      </c>
      <c r="B112" s="6" t="s">
        <v>130</v>
      </c>
      <c r="C112" s="16">
        <v>20</v>
      </c>
      <c r="D112" s="6" t="s">
        <v>114</v>
      </c>
      <c r="E112" s="7" t="s">
        <v>97</v>
      </c>
      <c r="F112" s="8">
        <v>2</v>
      </c>
      <c r="G112" s="8" t="s">
        <v>117</v>
      </c>
      <c r="H112" s="8">
        <f>VLOOKUP(E112,'[1]Master File'!$A:$F,5,0)*F112</f>
        <v>240</v>
      </c>
      <c r="I112" s="8">
        <f>VLOOKUP($E112,'[1]Master File'!$A:$F,6,0)*$F112</f>
        <v>324</v>
      </c>
    </row>
    <row r="113" spans="1:9" x14ac:dyDescent="0.3">
      <c r="A113" s="6">
        <v>44339</v>
      </c>
      <c r="B113" s="6" t="s">
        <v>130</v>
      </c>
      <c r="C113" s="16">
        <v>23</v>
      </c>
      <c r="D113" s="6" t="s">
        <v>114</v>
      </c>
      <c r="E113" s="7" t="s">
        <v>93</v>
      </c>
      <c r="F113" s="8">
        <v>11</v>
      </c>
      <c r="G113" s="8" t="s">
        <v>115</v>
      </c>
      <c r="H113" s="8">
        <f>VLOOKUP(E113,'[1]Master File'!$A:$F,5,0)*F113</f>
        <v>990</v>
      </c>
      <c r="I113" s="8">
        <f>VLOOKUP($E113,'[1]Master File'!$A:$F,6,0)*$F113</f>
        <v>1267.2</v>
      </c>
    </row>
    <row r="114" spans="1:9" x14ac:dyDescent="0.3">
      <c r="A114" s="6">
        <v>44346</v>
      </c>
      <c r="B114" s="6" t="s">
        <v>130</v>
      </c>
      <c r="C114" s="16">
        <v>30</v>
      </c>
      <c r="D114" s="6" t="s">
        <v>114</v>
      </c>
      <c r="E114" s="7" t="s">
        <v>57</v>
      </c>
      <c r="F114" s="8">
        <v>13</v>
      </c>
      <c r="G114" s="8" t="s">
        <v>115</v>
      </c>
      <c r="H114" s="8">
        <f>VLOOKUP(E114,'[1]Master File'!$A:$F,5,0)*F114</f>
        <v>1833</v>
      </c>
      <c r="I114" s="8">
        <f>VLOOKUP($E114,'[1]Master File'!$A:$F,6,0)*$F114</f>
        <v>1942.98</v>
      </c>
    </row>
    <row r="115" spans="1:9" x14ac:dyDescent="0.3">
      <c r="A115" s="6">
        <v>44346</v>
      </c>
      <c r="B115" s="6" t="s">
        <v>130</v>
      </c>
      <c r="C115" s="16">
        <v>30</v>
      </c>
      <c r="D115" s="6" t="s">
        <v>114</v>
      </c>
      <c r="E115" s="7" t="s">
        <v>36</v>
      </c>
      <c r="F115" s="8">
        <v>6</v>
      </c>
      <c r="G115" s="8" t="s">
        <v>117</v>
      </c>
      <c r="H115" s="8">
        <f>VLOOKUP(E115,'[1]Master File'!$A:$F,5,0)*F115</f>
        <v>672</v>
      </c>
      <c r="I115" s="8">
        <f>VLOOKUP($E115,'[1]Master File'!$A:$F,6,0)*$F115</f>
        <v>732.48</v>
      </c>
    </row>
    <row r="116" spans="1:9" x14ac:dyDescent="0.3">
      <c r="A116" s="6">
        <v>44350</v>
      </c>
      <c r="B116" s="6" t="s">
        <v>131</v>
      </c>
      <c r="C116" s="16">
        <v>3</v>
      </c>
      <c r="D116" s="6" t="s">
        <v>114</v>
      </c>
      <c r="E116" s="7" t="s">
        <v>53</v>
      </c>
      <c r="F116" s="8">
        <v>10</v>
      </c>
      <c r="G116" s="8" t="s">
        <v>117</v>
      </c>
      <c r="H116" s="8">
        <f>VLOOKUP(E116,'[1]Master File'!$A:$F,5,0)*F116</f>
        <v>1260</v>
      </c>
      <c r="I116" s="8">
        <f>VLOOKUP($E116,'[1]Master File'!$A:$F,6,0)*$F116</f>
        <v>1625.3999999999999</v>
      </c>
    </row>
    <row r="117" spans="1:9" x14ac:dyDescent="0.3">
      <c r="A117" s="6">
        <v>44351</v>
      </c>
      <c r="B117" s="6" t="s">
        <v>131</v>
      </c>
      <c r="C117" s="16">
        <v>4</v>
      </c>
      <c r="D117" s="6" t="s">
        <v>114</v>
      </c>
      <c r="E117" s="7" t="s">
        <v>50</v>
      </c>
      <c r="F117" s="8">
        <v>8</v>
      </c>
      <c r="G117" s="8" t="s">
        <v>115</v>
      </c>
      <c r="H117" s="8">
        <f>VLOOKUP(E117,'[1]Master File'!$A:$F,5,0)*F117</f>
        <v>488</v>
      </c>
      <c r="I117" s="8">
        <f>VLOOKUP($E117,'[1]Master File'!$A:$F,6,0)*$F117</f>
        <v>610</v>
      </c>
    </row>
    <row r="118" spans="1:9" x14ac:dyDescent="0.3">
      <c r="A118" s="6">
        <v>44351</v>
      </c>
      <c r="B118" s="6" t="s">
        <v>131</v>
      </c>
      <c r="C118" s="16">
        <v>4</v>
      </c>
      <c r="D118" s="6" t="s">
        <v>114</v>
      </c>
      <c r="E118" s="7" t="s">
        <v>50</v>
      </c>
      <c r="F118" s="8">
        <v>12</v>
      </c>
      <c r="G118" s="8" t="s">
        <v>117</v>
      </c>
      <c r="H118" s="8">
        <f>VLOOKUP(E118,'[1]Master File'!$A:$F,5,0)*F118</f>
        <v>732</v>
      </c>
      <c r="I118" s="8">
        <f>VLOOKUP($E118,'[1]Master File'!$A:$F,6,0)*$F118</f>
        <v>915</v>
      </c>
    </row>
    <row r="119" spans="1:9" x14ac:dyDescent="0.3">
      <c r="A119" s="6">
        <v>44352</v>
      </c>
      <c r="B119" s="6" t="s">
        <v>131</v>
      </c>
      <c r="C119" s="16">
        <v>5</v>
      </c>
      <c r="D119" s="6" t="s">
        <v>114</v>
      </c>
      <c r="E119" s="7" t="s">
        <v>55</v>
      </c>
      <c r="F119" s="8">
        <v>15</v>
      </c>
      <c r="G119" s="8" t="s">
        <v>115</v>
      </c>
      <c r="H119" s="8">
        <f>VLOOKUP(E119,'[1]Master File'!$A:$F,5,0)*F119</f>
        <v>1815</v>
      </c>
      <c r="I119" s="8">
        <f>VLOOKUP($E119,'[1]Master File'!$A:$F,6,0)*$F119</f>
        <v>2123.5499999999997</v>
      </c>
    </row>
    <row r="120" spans="1:9" x14ac:dyDescent="0.3">
      <c r="A120" s="6">
        <v>44352</v>
      </c>
      <c r="B120" s="6" t="s">
        <v>131</v>
      </c>
      <c r="C120" s="16">
        <v>5</v>
      </c>
      <c r="D120" s="6" t="s">
        <v>114</v>
      </c>
      <c r="E120" s="7" t="s">
        <v>82</v>
      </c>
      <c r="F120" s="8">
        <v>10</v>
      </c>
      <c r="G120" s="8" t="s">
        <v>115</v>
      </c>
      <c r="H120" s="8">
        <f>VLOOKUP(E120,'[1]Master File'!$A:$F,5,0)*F120</f>
        <v>50</v>
      </c>
      <c r="I120" s="8">
        <f>VLOOKUP($E120,'[1]Master File'!$A:$F,6,0)*$F120</f>
        <v>67</v>
      </c>
    </row>
    <row r="121" spans="1:9" x14ac:dyDescent="0.3">
      <c r="A121" s="6">
        <v>44353</v>
      </c>
      <c r="B121" s="6" t="s">
        <v>131</v>
      </c>
      <c r="C121" s="16">
        <v>6</v>
      </c>
      <c r="D121" s="6" t="s">
        <v>114</v>
      </c>
      <c r="E121" s="7" t="s">
        <v>78</v>
      </c>
      <c r="F121" s="8">
        <v>6</v>
      </c>
      <c r="G121" s="8" t="s">
        <v>115</v>
      </c>
      <c r="H121" s="8">
        <f>VLOOKUP(E121,'[1]Master File'!$A:$F,5,0)*F121</f>
        <v>570</v>
      </c>
      <c r="I121" s="8">
        <f>VLOOKUP($E121,'[1]Master File'!$A:$F,6,0)*$F121</f>
        <v>718.2</v>
      </c>
    </row>
    <row r="122" spans="1:9" x14ac:dyDescent="0.3">
      <c r="A122" s="6">
        <v>44355</v>
      </c>
      <c r="B122" s="6" t="s">
        <v>131</v>
      </c>
      <c r="C122" s="16">
        <v>8</v>
      </c>
      <c r="D122" s="6" t="s">
        <v>114</v>
      </c>
      <c r="E122" s="7" t="s">
        <v>68</v>
      </c>
      <c r="F122" s="8">
        <v>11</v>
      </c>
      <c r="G122" s="8" t="s">
        <v>115</v>
      </c>
      <c r="H122" s="8">
        <f>VLOOKUP(E122,'[1]Master File'!$A:$F,5,0)*F122</f>
        <v>407</v>
      </c>
      <c r="I122" s="8">
        <f>VLOOKUP($E122,'[1]Master File'!$A:$F,6,0)*$F122</f>
        <v>459.91</v>
      </c>
    </row>
    <row r="123" spans="1:9" x14ac:dyDescent="0.3">
      <c r="A123" s="6">
        <v>44355</v>
      </c>
      <c r="B123" s="6" t="s">
        <v>131</v>
      </c>
      <c r="C123" s="16">
        <v>8</v>
      </c>
      <c r="D123" s="6" t="s">
        <v>114</v>
      </c>
      <c r="E123" s="7" t="s">
        <v>14</v>
      </c>
      <c r="F123" s="8">
        <v>11</v>
      </c>
      <c r="G123" s="8" t="s">
        <v>117</v>
      </c>
      <c r="H123" s="8">
        <f>VLOOKUP(E123,'[1]Master File'!$A:$F,5,0)*F123</f>
        <v>484</v>
      </c>
      <c r="I123" s="8">
        <f>VLOOKUP($E123,'[1]Master File'!$A:$F,6,0)*$F123</f>
        <v>537.24</v>
      </c>
    </row>
    <row r="124" spans="1:9" x14ac:dyDescent="0.3">
      <c r="A124" s="6">
        <v>44356</v>
      </c>
      <c r="B124" s="6" t="s">
        <v>131</v>
      </c>
      <c r="C124" s="16">
        <v>9</v>
      </c>
      <c r="D124" s="6" t="s">
        <v>114</v>
      </c>
      <c r="E124" s="7" t="s">
        <v>6</v>
      </c>
      <c r="F124" s="8">
        <v>7</v>
      </c>
      <c r="G124" s="8" t="s">
        <v>115</v>
      </c>
      <c r="H124" s="8">
        <f>VLOOKUP(E124,'[1]Master File'!$A:$F,5,0)*F124</f>
        <v>686</v>
      </c>
      <c r="I124" s="8">
        <f>VLOOKUP($E124,'[1]Master File'!$A:$F,6,0)*$F124</f>
        <v>727.16</v>
      </c>
    </row>
    <row r="125" spans="1:9" x14ac:dyDescent="0.3">
      <c r="A125" s="6">
        <v>44358</v>
      </c>
      <c r="B125" s="6" t="s">
        <v>131</v>
      </c>
      <c r="C125" s="16">
        <v>11</v>
      </c>
      <c r="D125" s="6" t="s">
        <v>114</v>
      </c>
      <c r="E125" s="7" t="s">
        <v>76</v>
      </c>
      <c r="F125" s="8">
        <v>12</v>
      </c>
      <c r="G125" s="8" t="s">
        <v>117</v>
      </c>
      <c r="H125" s="8">
        <f>VLOOKUP(E125,'[1]Master File'!$A:$F,5,0)*F125</f>
        <v>1068</v>
      </c>
      <c r="I125" s="8">
        <f>VLOOKUP($E125,'[1]Master File'!$A:$F,6,0)*$F125</f>
        <v>1409.76</v>
      </c>
    </row>
    <row r="126" spans="1:9" x14ac:dyDescent="0.3">
      <c r="A126" s="6">
        <v>44359</v>
      </c>
      <c r="B126" s="6" t="s">
        <v>131</v>
      </c>
      <c r="C126" s="16">
        <v>12</v>
      </c>
      <c r="D126" s="6" t="s">
        <v>114</v>
      </c>
      <c r="E126" s="7" t="s">
        <v>95</v>
      </c>
      <c r="F126" s="8">
        <v>6</v>
      </c>
      <c r="G126" s="8" t="s">
        <v>115</v>
      </c>
      <c r="H126" s="8">
        <f>VLOOKUP(E126,'[1]Master File'!$A:$F,5,0)*F126</f>
        <v>828</v>
      </c>
      <c r="I126" s="8">
        <f>VLOOKUP($E126,'[1]Master File'!$A:$F,6,0)*$F126</f>
        <v>1043.28</v>
      </c>
    </row>
    <row r="127" spans="1:9" x14ac:dyDescent="0.3">
      <c r="A127" s="6">
        <v>44361</v>
      </c>
      <c r="B127" s="6" t="s">
        <v>131</v>
      </c>
      <c r="C127" s="16">
        <v>14</v>
      </c>
      <c r="D127" s="6" t="s">
        <v>114</v>
      </c>
      <c r="E127" s="7" t="s">
        <v>61</v>
      </c>
      <c r="F127" s="8">
        <v>10</v>
      </c>
      <c r="G127" s="8" t="s">
        <v>117</v>
      </c>
      <c r="H127" s="8">
        <f>VLOOKUP(E127,'[1]Master File'!$A:$F,5,0)*F127</f>
        <v>70</v>
      </c>
      <c r="I127" s="8">
        <f>VLOOKUP($E127,'[1]Master File'!$A:$F,6,0)*$F127</f>
        <v>83.3</v>
      </c>
    </row>
    <row r="128" spans="1:9" x14ac:dyDescent="0.3">
      <c r="A128" s="6">
        <v>44363</v>
      </c>
      <c r="B128" s="6" t="s">
        <v>131</v>
      </c>
      <c r="C128" s="16">
        <v>16</v>
      </c>
      <c r="D128" s="6" t="s">
        <v>114</v>
      </c>
      <c r="E128" s="7" t="s">
        <v>48</v>
      </c>
      <c r="F128" s="8">
        <v>5</v>
      </c>
      <c r="G128" s="8" t="s">
        <v>117</v>
      </c>
      <c r="H128" s="8">
        <f>VLOOKUP(E128,'[1]Master File'!$A:$F,5,0)*F128</f>
        <v>750</v>
      </c>
      <c r="I128" s="8">
        <f>VLOOKUP($E128,'[1]Master File'!$A:$F,6,0)*$F128</f>
        <v>1050</v>
      </c>
    </row>
    <row r="129" spans="1:9" x14ac:dyDescent="0.3">
      <c r="A129" s="6">
        <v>44363</v>
      </c>
      <c r="B129" s="6" t="s">
        <v>131</v>
      </c>
      <c r="C129" s="16">
        <v>16</v>
      </c>
      <c r="D129" s="6" t="s">
        <v>114</v>
      </c>
      <c r="E129" s="7" t="s">
        <v>40</v>
      </c>
      <c r="F129" s="8">
        <v>12</v>
      </c>
      <c r="G129" s="8" t="s">
        <v>117</v>
      </c>
      <c r="H129" s="8">
        <f>VLOOKUP(E129,'[1]Master File'!$A:$F,5,0)*F129</f>
        <v>144</v>
      </c>
      <c r="I129" s="8">
        <f>VLOOKUP($E129,'[1]Master File'!$A:$F,6,0)*$F129</f>
        <v>188.64</v>
      </c>
    </row>
    <row r="130" spans="1:9" x14ac:dyDescent="0.3">
      <c r="A130" s="6">
        <v>44363</v>
      </c>
      <c r="B130" s="6" t="s">
        <v>131</v>
      </c>
      <c r="C130" s="16">
        <v>16</v>
      </c>
      <c r="D130" s="6" t="s">
        <v>114</v>
      </c>
      <c r="E130" s="7" t="s">
        <v>91</v>
      </c>
      <c r="F130" s="8">
        <v>11</v>
      </c>
      <c r="G130" s="8" t="s">
        <v>117</v>
      </c>
      <c r="H130" s="8">
        <f>VLOOKUP(E130,'[1]Master File'!$A:$F,5,0)*F130</f>
        <v>407</v>
      </c>
      <c r="I130" s="8">
        <f>VLOOKUP($E130,'[1]Master File'!$A:$F,6,0)*$F130</f>
        <v>468.04999999999995</v>
      </c>
    </row>
    <row r="131" spans="1:9" x14ac:dyDescent="0.3">
      <c r="A131" s="6">
        <v>44365</v>
      </c>
      <c r="B131" s="6" t="s">
        <v>131</v>
      </c>
      <c r="C131" s="16">
        <v>18</v>
      </c>
      <c r="D131" s="6" t="s">
        <v>114</v>
      </c>
      <c r="E131" s="7" t="s">
        <v>61</v>
      </c>
      <c r="F131" s="8">
        <v>13</v>
      </c>
      <c r="G131" s="8" t="s">
        <v>117</v>
      </c>
      <c r="H131" s="8">
        <f>VLOOKUP(E131,'[1]Master File'!$A:$F,5,0)*F131</f>
        <v>91</v>
      </c>
      <c r="I131" s="8">
        <f>VLOOKUP($E131,'[1]Master File'!$A:$F,6,0)*$F131</f>
        <v>108.29</v>
      </c>
    </row>
    <row r="132" spans="1:9" x14ac:dyDescent="0.3">
      <c r="A132" s="6">
        <v>44366</v>
      </c>
      <c r="B132" s="6" t="s">
        <v>131</v>
      </c>
      <c r="C132" s="16">
        <v>19</v>
      </c>
      <c r="D132" s="6" t="s">
        <v>114</v>
      </c>
      <c r="E132" s="7" t="s">
        <v>95</v>
      </c>
      <c r="F132" s="8">
        <v>5</v>
      </c>
      <c r="G132" s="8" t="s">
        <v>115</v>
      </c>
      <c r="H132" s="8">
        <f>VLOOKUP(E132,'[1]Master File'!$A:$F,5,0)*F132</f>
        <v>690</v>
      </c>
      <c r="I132" s="8">
        <f>VLOOKUP($E132,'[1]Master File'!$A:$F,6,0)*$F132</f>
        <v>869.4</v>
      </c>
    </row>
    <row r="133" spans="1:9" x14ac:dyDescent="0.3">
      <c r="A133" s="6">
        <v>44367</v>
      </c>
      <c r="B133" s="6" t="s">
        <v>131</v>
      </c>
      <c r="C133" s="16">
        <v>20</v>
      </c>
      <c r="D133" s="6" t="s">
        <v>114</v>
      </c>
      <c r="E133" s="7" t="s">
        <v>42</v>
      </c>
      <c r="F133" s="8">
        <v>1</v>
      </c>
      <c r="G133" s="8" t="s">
        <v>117</v>
      </c>
      <c r="H133" s="8">
        <f>VLOOKUP(E133,'[1]Master File'!$A:$F,5,0)*F133</f>
        <v>13</v>
      </c>
      <c r="I133" s="8">
        <f>VLOOKUP($E133,'[1]Master File'!$A:$F,6,0)*$F133</f>
        <v>16.64</v>
      </c>
    </row>
    <row r="134" spans="1:9" x14ac:dyDescent="0.3">
      <c r="A134" s="6">
        <v>44370</v>
      </c>
      <c r="B134" s="6" t="s">
        <v>131</v>
      </c>
      <c r="C134" s="16">
        <v>23</v>
      </c>
      <c r="D134" s="6" t="s">
        <v>114</v>
      </c>
      <c r="E134" s="7" t="s">
        <v>42</v>
      </c>
      <c r="F134" s="8">
        <v>4</v>
      </c>
      <c r="G134" s="8" t="s">
        <v>115</v>
      </c>
      <c r="H134" s="8">
        <f>VLOOKUP(E134,'[1]Master File'!$A:$F,5,0)*F134</f>
        <v>52</v>
      </c>
      <c r="I134" s="8">
        <f>VLOOKUP($E134,'[1]Master File'!$A:$F,6,0)*$F134</f>
        <v>66.56</v>
      </c>
    </row>
    <row r="135" spans="1:9" x14ac:dyDescent="0.3">
      <c r="A135" s="6">
        <v>44371</v>
      </c>
      <c r="B135" s="6" t="s">
        <v>131</v>
      </c>
      <c r="C135" s="16">
        <v>24</v>
      </c>
      <c r="D135" s="6" t="s">
        <v>114</v>
      </c>
      <c r="E135" s="7" t="s">
        <v>32</v>
      </c>
      <c r="F135" s="8">
        <v>13</v>
      </c>
      <c r="G135" s="8" t="s">
        <v>115</v>
      </c>
      <c r="H135" s="8">
        <f>VLOOKUP(E135,'[1]Master File'!$A:$F,5,0)*F135</f>
        <v>572</v>
      </c>
      <c r="I135" s="8">
        <f>VLOOKUP($E135,'[1]Master File'!$A:$F,6,0)*$F135</f>
        <v>629.19999999999993</v>
      </c>
    </row>
    <row r="136" spans="1:9" x14ac:dyDescent="0.3">
      <c r="A136" s="6">
        <v>44373</v>
      </c>
      <c r="B136" s="6" t="s">
        <v>131</v>
      </c>
      <c r="C136" s="16">
        <v>26</v>
      </c>
      <c r="D136" s="6" t="s">
        <v>114</v>
      </c>
      <c r="E136" s="7" t="s">
        <v>26</v>
      </c>
      <c r="F136" s="8">
        <v>7</v>
      </c>
      <c r="G136" s="8" t="s">
        <v>115</v>
      </c>
      <c r="H136" s="8">
        <f>VLOOKUP(E136,'[1]Master File'!$A:$F,5,0)*F136</f>
        <v>42</v>
      </c>
      <c r="I136" s="8">
        <f>VLOOKUP($E136,'[1]Master File'!$A:$F,6,0)*$F136</f>
        <v>55.019999999999996</v>
      </c>
    </row>
    <row r="137" spans="1:9" x14ac:dyDescent="0.3">
      <c r="A137" s="6">
        <v>44374</v>
      </c>
      <c r="B137" s="6" t="s">
        <v>131</v>
      </c>
      <c r="C137" s="16">
        <v>27</v>
      </c>
      <c r="D137" s="6" t="s">
        <v>114</v>
      </c>
      <c r="E137" s="7" t="s">
        <v>17</v>
      </c>
      <c r="F137" s="8">
        <v>11</v>
      </c>
      <c r="G137" s="8" t="s">
        <v>117</v>
      </c>
      <c r="H137" s="8">
        <f>VLOOKUP(E137,'[1]Master File'!$A:$F,5,0)*F137</f>
        <v>1463</v>
      </c>
      <c r="I137" s="8">
        <f>VLOOKUP($E137,'[1]Master File'!$A:$F,6,0)*$F137</f>
        <v>1711.71</v>
      </c>
    </row>
    <row r="138" spans="1:9" x14ac:dyDescent="0.3">
      <c r="A138" s="6">
        <v>44375</v>
      </c>
      <c r="B138" s="6" t="s">
        <v>131</v>
      </c>
      <c r="C138" s="16">
        <v>28</v>
      </c>
      <c r="D138" s="6" t="s">
        <v>114</v>
      </c>
      <c r="E138" s="7" t="s">
        <v>53</v>
      </c>
      <c r="F138" s="8">
        <v>2</v>
      </c>
      <c r="G138" s="8" t="s">
        <v>117</v>
      </c>
      <c r="H138" s="8">
        <f>VLOOKUP(E138,'[1]Master File'!$A:$F,5,0)*F138</f>
        <v>252</v>
      </c>
      <c r="I138" s="8">
        <f>VLOOKUP($E138,'[1]Master File'!$A:$F,6,0)*$F138</f>
        <v>325.08</v>
      </c>
    </row>
    <row r="139" spans="1:9" x14ac:dyDescent="0.3">
      <c r="A139" s="6">
        <v>44375</v>
      </c>
      <c r="B139" s="6" t="s">
        <v>131</v>
      </c>
      <c r="C139" s="16">
        <v>28</v>
      </c>
      <c r="D139" s="6" t="s">
        <v>114</v>
      </c>
      <c r="E139" s="7" t="s">
        <v>82</v>
      </c>
      <c r="F139" s="8">
        <v>7</v>
      </c>
      <c r="G139" s="8" t="s">
        <v>115</v>
      </c>
      <c r="H139" s="8">
        <f>VLOOKUP(E139,'[1]Master File'!$A:$F,5,0)*F139</f>
        <v>35</v>
      </c>
      <c r="I139" s="8">
        <f>VLOOKUP($E139,'[1]Master File'!$A:$F,6,0)*$F139</f>
        <v>46.9</v>
      </c>
    </row>
    <row r="140" spans="1:9" x14ac:dyDescent="0.3">
      <c r="A140" s="6">
        <v>44376</v>
      </c>
      <c r="B140" s="6" t="s">
        <v>131</v>
      </c>
      <c r="C140" s="16">
        <v>29</v>
      </c>
      <c r="D140" s="6" t="s">
        <v>114</v>
      </c>
      <c r="E140" s="7" t="s">
        <v>38</v>
      </c>
      <c r="F140" s="8">
        <v>4</v>
      </c>
      <c r="G140" s="8" t="s">
        <v>115</v>
      </c>
      <c r="H140" s="8">
        <f>VLOOKUP(E140,'[1]Master File'!$A:$F,5,0)*F140</f>
        <v>448</v>
      </c>
      <c r="I140" s="8">
        <f>VLOOKUP($E140,'[1]Master File'!$A:$F,6,0)*$F140</f>
        <v>586.88</v>
      </c>
    </row>
    <row r="141" spans="1:9" x14ac:dyDescent="0.3">
      <c r="A141" s="6">
        <v>44378</v>
      </c>
      <c r="B141" s="6" t="s">
        <v>132</v>
      </c>
      <c r="C141" s="16">
        <v>1</v>
      </c>
      <c r="D141" s="6" t="s">
        <v>114</v>
      </c>
      <c r="E141" s="7" t="s">
        <v>17</v>
      </c>
      <c r="F141" s="8">
        <v>11</v>
      </c>
      <c r="G141" s="8" t="s">
        <v>117</v>
      </c>
      <c r="H141" s="8">
        <f>VLOOKUP(E141,'[1]Master File'!$A:$F,5,0)*F141</f>
        <v>1463</v>
      </c>
      <c r="I141" s="8">
        <f>VLOOKUP($E141,'[1]Master File'!$A:$F,6,0)*$F141</f>
        <v>1711.71</v>
      </c>
    </row>
    <row r="142" spans="1:9" x14ac:dyDescent="0.3">
      <c r="A142" s="6">
        <v>44379</v>
      </c>
      <c r="B142" s="6" t="s">
        <v>132</v>
      </c>
      <c r="C142" s="16">
        <v>2</v>
      </c>
      <c r="D142" s="6" t="s">
        <v>114</v>
      </c>
      <c r="E142" s="7" t="s">
        <v>29</v>
      </c>
      <c r="F142" s="8">
        <v>11</v>
      </c>
      <c r="G142" s="8" t="s">
        <v>117</v>
      </c>
      <c r="H142" s="8">
        <f>VLOOKUP(E142,'[1]Master File'!$A:$F,5,0)*F142</f>
        <v>1628</v>
      </c>
      <c r="I142" s="8">
        <f>VLOOKUP($E142,'[1]Master File'!$A:$F,6,0)*$F142</f>
        <v>1807.08</v>
      </c>
    </row>
    <row r="143" spans="1:9" x14ac:dyDescent="0.3">
      <c r="A143" s="6">
        <v>44380</v>
      </c>
      <c r="B143" s="6" t="s">
        <v>132</v>
      </c>
      <c r="C143" s="16">
        <v>3</v>
      </c>
      <c r="D143" s="6" t="s">
        <v>114</v>
      </c>
      <c r="E143" s="7" t="s">
        <v>78</v>
      </c>
      <c r="F143" s="8">
        <v>9</v>
      </c>
      <c r="G143" s="8" t="s">
        <v>117</v>
      </c>
      <c r="H143" s="8">
        <f>VLOOKUP(E143,'[1]Master File'!$A:$F,5,0)*F143</f>
        <v>855</v>
      </c>
      <c r="I143" s="8">
        <f>VLOOKUP($E143,'[1]Master File'!$A:$F,6,0)*$F143</f>
        <v>1077.3</v>
      </c>
    </row>
    <row r="144" spans="1:9" x14ac:dyDescent="0.3">
      <c r="A144" s="6">
        <v>44380</v>
      </c>
      <c r="B144" s="6" t="s">
        <v>132</v>
      </c>
      <c r="C144" s="16">
        <v>3</v>
      </c>
      <c r="D144" s="6" t="s">
        <v>114</v>
      </c>
      <c r="E144" s="7" t="s">
        <v>12</v>
      </c>
      <c r="F144" s="8">
        <v>8</v>
      </c>
      <c r="G144" s="8" t="s">
        <v>117</v>
      </c>
      <c r="H144" s="8">
        <f>VLOOKUP(E144,'[1]Master File'!$A:$F,5,0)*F144</f>
        <v>568</v>
      </c>
      <c r="I144" s="8">
        <f>VLOOKUP($E144,'[1]Master File'!$A:$F,6,0)*$F144</f>
        <v>647.52</v>
      </c>
    </row>
    <row r="145" spans="1:9" x14ac:dyDescent="0.3">
      <c r="A145" s="6">
        <v>44382</v>
      </c>
      <c r="B145" s="6" t="s">
        <v>132</v>
      </c>
      <c r="C145" s="16">
        <v>5</v>
      </c>
      <c r="D145" s="6" t="s">
        <v>114</v>
      </c>
      <c r="E145" s="7" t="s">
        <v>10</v>
      </c>
      <c r="F145" s="8">
        <v>8</v>
      </c>
      <c r="G145" s="8" t="s">
        <v>115</v>
      </c>
      <c r="H145" s="8">
        <f>VLOOKUP(E145,'[1]Master File'!$A:$F,5,0)*F145</f>
        <v>840</v>
      </c>
      <c r="I145" s="8">
        <f>VLOOKUP($E145,'[1]Master File'!$A:$F,6,0)*$F145</f>
        <v>1142.4000000000001</v>
      </c>
    </row>
    <row r="146" spans="1:9" x14ac:dyDescent="0.3">
      <c r="A146" s="6">
        <v>44383</v>
      </c>
      <c r="B146" s="6" t="s">
        <v>132</v>
      </c>
      <c r="C146" s="16">
        <v>6</v>
      </c>
      <c r="D146" s="6" t="s">
        <v>114</v>
      </c>
      <c r="E146" s="7" t="s">
        <v>95</v>
      </c>
      <c r="F146" s="8">
        <v>15</v>
      </c>
      <c r="G146" s="8" t="s">
        <v>117</v>
      </c>
      <c r="H146" s="8">
        <f>VLOOKUP(E146,'[1]Master File'!$A:$F,5,0)*F146</f>
        <v>2070</v>
      </c>
      <c r="I146" s="8">
        <f>VLOOKUP($E146,'[1]Master File'!$A:$F,6,0)*$F146</f>
        <v>2608.1999999999998</v>
      </c>
    </row>
    <row r="147" spans="1:9" x14ac:dyDescent="0.3">
      <c r="A147" s="6">
        <v>44385</v>
      </c>
      <c r="B147" s="6" t="s">
        <v>132</v>
      </c>
      <c r="C147" s="16">
        <v>8</v>
      </c>
      <c r="D147" s="6" t="s">
        <v>114</v>
      </c>
      <c r="E147" s="7" t="s">
        <v>14</v>
      </c>
      <c r="F147" s="8">
        <v>10</v>
      </c>
      <c r="G147" s="8" t="s">
        <v>115</v>
      </c>
      <c r="H147" s="8">
        <f>VLOOKUP(E147,'[1]Master File'!$A:$F,5,0)*F147</f>
        <v>440</v>
      </c>
      <c r="I147" s="8">
        <f>VLOOKUP($E147,'[1]Master File'!$A:$F,6,0)*$F147</f>
        <v>488.40000000000003</v>
      </c>
    </row>
    <row r="148" spans="1:9" x14ac:dyDescent="0.3">
      <c r="A148" s="6">
        <v>44387</v>
      </c>
      <c r="B148" s="6" t="s">
        <v>132</v>
      </c>
      <c r="C148" s="16">
        <v>10</v>
      </c>
      <c r="D148" s="6" t="s">
        <v>114</v>
      </c>
      <c r="E148" s="7" t="s">
        <v>80</v>
      </c>
      <c r="F148" s="8">
        <v>6</v>
      </c>
      <c r="G148" s="8" t="s">
        <v>117</v>
      </c>
      <c r="H148" s="8">
        <f>VLOOKUP(E148,'[1]Master File'!$A:$F,5,0)*F148</f>
        <v>330</v>
      </c>
      <c r="I148" s="8">
        <f>VLOOKUP($E148,'[1]Master File'!$A:$F,6,0)*$F148</f>
        <v>349.79999999999995</v>
      </c>
    </row>
    <row r="149" spans="1:9" x14ac:dyDescent="0.3">
      <c r="A149" s="6">
        <v>44388</v>
      </c>
      <c r="B149" s="6" t="s">
        <v>132</v>
      </c>
      <c r="C149" s="16">
        <v>11</v>
      </c>
      <c r="D149" s="6" t="s">
        <v>114</v>
      </c>
      <c r="E149" s="7" t="s">
        <v>26</v>
      </c>
      <c r="F149" s="8">
        <v>4</v>
      </c>
      <c r="G149" s="8" t="s">
        <v>115</v>
      </c>
      <c r="H149" s="8">
        <f>VLOOKUP(E149,'[1]Master File'!$A:$F,5,0)*F149</f>
        <v>24</v>
      </c>
      <c r="I149" s="8">
        <f>VLOOKUP($E149,'[1]Master File'!$A:$F,6,0)*$F149</f>
        <v>31.439999999999998</v>
      </c>
    </row>
    <row r="150" spans="1:9" x14ac:dyDescent="0.3">
      <c r="A150" s="6">
        <v>44390</v>
      </c>
      <c r="B150" s="6" t="s">
        <v>132</v>
      </c>
      <c r="C150" s="16">
        <v>13</v>
      </c>
      <c r="D150" s="6" t="s">
        <v>114</v>
      </c>
      <c r="E150" s="7" t="s">
        <v>48</v>
      </c>
      <c r="F150" s="8">
        <v>1</v>
      </c>
      <c r="G150" s="8" t="s">
        <v>117</v>
      </c>
      <c r="H150" s="8">
        <f>VLOOKUP(E150,'[1]Master File'!$A:$F,5,0)*F150</f>
        <v>150</v>
      </c>
      <c r="I150" s="8">
        <f>VLOOKUP($E150,'[1]Master File'!$A:$F,6,0)*$F150</f>
        <v>210</v>
      </c>
    </row>
    <row r="151" spans="1:9" x14ac:dyDescent="0.3">
      <c r="A151" s="6">
        <v>44393</v>
      </c>
      <c r="B151" s="6" t="s">
        <v>132</v>
      </c>
      <c r="C151" s="16">
        <v>16</v>
      </c>
      <c r="D151" s="6" t="s">
        <v>114</v>
      </c>
      <c r="E151" s="7" t="s">
        <v>57</v>
      </c>
      <c r="F151" s="8">
        <v>8</v>
      </c>
      <c r="G151" s="8" t="s">
        <v>117</v>
      </c>
      <c r="H151" s="8">
        <f>VLOOKUP(E151,'[1]Master File'!$A:$F,5,0)*F151</f>
        <v>1128</v>
      </c>
      <c r="I151" s="8">
        <f>VLOOKUP($E151,'[1]Master File'!$A:$F,6,0)*$F151</f>
        <v>1195.68</v>
      </c>
    </row>
    <row r="152" spans="1:9" x14ac:dyDescent="0.3">
      <c r="A152" s="6">
        <v>44395</v>
      </c>
      <c r="B152" s="6" t="s">
        <v>132</v>
      </c>
      <c r="C152" s="16">
        <v>18</v>
      </c>
      <c r="D152" s="6" t="s">
        <v>114</v>
      </c>
      <c r="E152" s="7" t="s">
        <v>66</v>
      </c>
      <c r="F152" s="8">
        <v>14</v>
      </c>
      <c r="G152" s="8" t="s">
        <v>115</v>
      </c>
      <c r="H152" s="8">
        <f>VLOOKUP(E152,'[1]Master File'!$A:$F,5,0)*F152</f>
        <v>672</v>
      </c>
      <c r="I152" s="8">
        <f>VLOOKUP($E152,'[1]Master File'!$A:$F,6,0)*$F152</f>
        <v>799.68000000000006</v>
      </c>
    </row>
    <row r="153" spans="1:9" x14ac:dyDescent="0.3">
      <c r="A153" s="6">
        <v>44397</v>
      </c>
      <c r="B153" s="6" t="s">
        <v>132</v>
      </c>
      <c r="C153" s="16">
        <v>20</v>
      </c>
      <c r="D153" s="6" t="s">
        <v>114</v>
      </c>
      <c r="E153" s="7" t="s">
        <v>89</v>
      </c>
      <c r="F153" s="8">
        <v>11</v>
      </c>
      <c r="G153" s="8" t="s">
        <v>115</v>
      </c>
      <c r="H153" s="8">
        <f>VLOOKUP(E153,'[1]Master File'!$A:$F,5,0)*F153</f>
        <v>792</v>
      </c>
      <c r="I153" s="8">
        <f>VLOOKUP($E153,'[1]Master File'!$A:$F,6,0)*$F153</f>
        <v>879.12</v>
      </c>
    </row>
    <row r="154" spans="1:9" x14ac:dyDescent="0.3">
      <c r="A154" s="6">
        <v>44397</v>
      </c>
      <c r="B154" s="6" t="s">
        <v>132</v>
      </c>
      <c r="C154" s="16">
        <v>20</v>
      </c>
      <c r="D154" s="6" t="s">
        <v>114</v>
      </c>
      <c r="E154" s="7" t="s">
        <v>99</v>
      </c>
      <c r="F154" s="8">
        <v>5</v>
      </c>
      <c r="G154" s="8" t="s">
        <v>115</v>
      </c>
      <c r="H154" s="8">
        <f>VLOOKUP(E154,'[1]Master File'!$A:$F,5,0)*F154</f>
        <v>335</v>
      </c>
      <c r="I154" s="8">
        <f>VLOOKUP($E154,'[1]Master File'!$A:$F,6,0)*$F154</f>
        <v>415.4</v>
      </c>
    </row>
    <row r="155" spans="1:9" x14ac:dyDescent="0.3">
      <c r="A155" s="6">
        <v>44398</v>
      </c>
      <c r="B155" s="6" t="s">
        <v>132</v>
      </c>
      <c r="C155" s="16">
        <v>21</v>
      </c>
      <c r="D155" s="6" t="s">
        <v>114</v>
      </c>
      <c r="E155" s="7" t="s">
        <v>70</v>
      </c>
      <c r="F155" s="8">
        <v>15</v>
      </c>
      <c r="G155" s="8" t="s">
        <v>115</v>
      </c>
      <c r="H155" s="8">
        <f>VLOOKUP(E155,'[1]Master File'!$A:$F,5,0)*F155</f>
        <v>705</v>
      </c>
      <c r="I155" s="8">
        <f>VLOOKUP($E155,'[1]Master File'!$A:$F,6,0)*$F155</f>
        <v>796.65</v>
      </c>
    </row>
    <row r="156" spans="1:9" x14ac:dyDescent="0.3">
      <c r="A156" s="6">
        <v>44399</v>
      </c>
      <c r="B156" s="6" t="s">
        <v>132</v>
      </c>
      <c r="C156" s="16">
        <v>22</v>
      </c>
      <c r="D156" s="6" t="s">
        <v>114</v>
      </c>
      <c r="E156" s="7" t="s">
        <v>63</v>
      </c>
      <c r="F156" s="8">
        <v>3</v>
      </c>
      <c r="G156" s="8" t="s">
        <v>117</v>
      </c>
      <c r="H156" s="8">
        <f>VLOOKUP(E156,'[1]Master File'!$A:$F,5,0)*F156</f>
        <v>54</v>
      </c>
      <c r="I156" s="8">
        <f>VLOOKUP($E156,'[1]Master File'!$A:$F,6,0)*$F156</f>
        <v>73.98</v>
      </c>
    </row>
    <row r="157" spans="1:9" x14ac:dyDescent="0.3">
      <c r="A157" s="6">
        <v>44399</v>
      </c>
      <c r="B157" s="6" t="s">
        <v>132</v>
      </c>
      <c r="C157" s="16">
        <v>22</v>
      </c>
      <c r="D157" s="6" t="s">
        <v>114</v>
      </c>
      <c r="E157" s="7" t="s">
        <v>59</v>
      </c>
      <c r="F157" s="8">
        <v>14</v>
      </c>
      <c r="G157" s="8" t="s">
        <v>117</v>
      </c>
      <c r="H157" s="8">
        <f>VLOOKUP(E157,'[1]Master File'!$A:$F,5,0)*F157</f>
        <v>2016</v>
      </c>
      <c r="I157" s="8">
        <f>VLOOKUP($E157,'[1]Master File'!$A:$F,6,0)*$F157</f>
        <v>2197.44</v>
      </c>
    </row>
    <row r="158" spans="1:9" x14ac:dyDescent="0.3">
      <c r="A158" s="6">
        <v>44400</v>
      </c>
      <c r="B158" s="6" t="s">
        <v>132</v>
      </c>
      <c r="C158" s="16">
        <v>23</v>
      </c>
      <c r="D158" s="6" t="s">
        <v>114</v>
      </c>
      <c r="E158" s="7" t="s">
        <v>84</v>
      </c>
      <c r="F158" s="8">
        <v>7</v>
      </c>
      <c r="G158" s="8" t="s">
        <v>115</v>
      </c>
      <c r="H158" s="8">
        <f>VLOOKUP(E158,'[1]Master File'!$A:$F,5,0)*F158</f>
        <v>630</v>
      </c>
      <c r="I158" s="8">
        <f>VLOOKUP($E158,'[1]Master File'!$A:$F,6,0)*$F158</f>
        <v>674.1</v>
      </c>
    </row>
    <row r="159" spans="1:9" x14ac:dyDescent="0.3">
      <c r="A159" s="6">
        <v>44400</v>
      </c>
      <c r="B159" s="6" t="s">
        <v>132</v>
      </c>
      <c r="C159" s="16">
        <v>23</v>
      </c>
      <c r="D159" s="6" t="s">
        <v>114</v>
      </c>
      <c r="E159" s="7" t="s">
        <v>86</v>
      </c>
      <c r="F159" s="8">
        <v>8</v>
      </c>
      <c r="G159" s="8" t="s">
        <v>115</v>
      </c>
      <c r="H159" s="8">
        <f>VLOOKUP(E159,'[1]Master File'!$A:$F,5,0)*F159</f>
        <v>536</v>
      </c>
      <c r="I159" s="8">
        <f>VLOOKUP($E159,'[1]Master File'!$A:$F,6,0)*$F159</f>
        <v>686.08</v>
      </c>
    </row>
    <row r="160" spans="1:9" x14ac:dyDescent="0.3">
      <c r="A160" s="6">
        <v>44401</v>
      </c>
      <c r="B160" s="6" t="s">
        <v>132</v>
      </c>
      <c r="C160" s="16">
        <v>24</v>
      </c>
      <c r="D160" s="6" t="s">
        <v>114</v>
      </c>
      <c r="E160" s="7" t="s">
        <v>26</v>
      </c>
      <c r="F160" s="8">
        <v>4</v>
      </c>
      <c r="G160" s="8" t="s">
        <v>117</v>
      </c>
      <c r="H160" s="8">
        <f>VLOOKUP(E160,'[1]Master File'!$A:$F,5,0)*F160</f>
        <v>24</v>
      </c>
      <c r="I160" s="8">
        <f>VLOOKUP($E160,'[1]Master File'!$A:$F,6,0)*$F160</f>
        <v>31.439999999999998</v>
      </c>
    </row>
    <row r="161" spans="1:9" x14ac:dyDescent="0.3">
      <c r="A161" s="6">
        <v>44406</v>
      </c>
      <c r="B161" s="6" t="s">
        <v>132</v>
      </c>
      <c r="C161" s="16">
        <v>29</v>
      </c>
      <c r="D161" s="6" t="s">
        <v>114</v>
      </c>
      <c r="E161" s="7" t="s">
        <v>101</v>
      </c>
      <c r="F161" s="8">
        <v>15</v>
      </c>
      <c r="G161" s="8" t="s">
        <v>117</v>
      </c>
      <c r="H161" s="8">
        <f>VLOOKUP(E161,'[1]Master File'!$A:$F,5,0)*F161</f>
        <v>1140</v>
      </c>
      <c r="I161" s="8">
        <f>VLOOKUP($E161,'[1]Master File'!$A:$F,6,0)*$F161</f>
        <v>1231.2</v>
      </c>
    </row>
    <row r="162" spans="1:9" x14ac:dyDescent="0.3">
      <c r="A162" s="6">
        <v>44409</v>
      </c>
      <c r="B162" s="6" t="s">
        <v>133</v>
      </c>
      <c r="C162" s="16">
        <v>1</v>
      </c>
      <c r="D162" s="6" t="s">
        <v>114</v>
      </c>
      <c r="E162" s="7" t="s">
        <v>6</v>
      </c>
      <c r="F162" s="8">
        <v>11</v>
      </c>
      <c r="G162" s="8" t="s">
        <v>117</v>
      </c>
      <c r="H162" s="8">
        <f>VLOOKUP(E162,'[1]Master File'!$A:$F,5,0)*F162</f>
        <v>1078</v>
      </c>
      <c r="I162" s="8">
        <f>VLOOKUP($E162,'[1]Master File'!$A:$F,6,0)*$F162</f>
        <v>1142.6799999999998</v>
      </c>
    </row>
    <row r="163" spans="1:9" x14ac:dyDescent="0.3">
      <c r="A163" s="6">
        <v>44410</v>
      </c>
      <c r="B163" s="6" t="s">
        <v>133</v>
      </c>
      <c r="C163" s="16">
        <v>2</v>
      </c>
      <c r="D163" s="6" t="s">
        <v>114</v>
      </c>
      <c r="E163" s="7" t="s">
        <v>57</v>
      </c>
      <c r="F163" s="8">
        <v>3</v>
      </c>
      <c r="G163" s="8" t="s">
        <v>115</v>
      </c>
      <c r="H163" s="8">
        <f>VLOOKUP(E163,'[1]Master File'!$A:$F,5,0)*F163</f>
        <v>423</v>
      </c>
      <c r="I163" s="8">
        <f>VLOOKUP($E163,'[1]Master File'!$A:$F,6,0)*$F163</f>
        <v>448.38</v>
      </c>
    </row>
    <row r="164" spans="1:9" x14ac:dyDescent="0.3">
      <c r="A164" s="6">
        <v>44411</v>
      </c>
      <c r="B164" s="6" t="s">
        <v>133</v>
      </c>
      <c r="C164" s="16">
        <v>3</v>
      </c>
      <c r="D164" s="6" t="s">
        <v>114</v>
      </c>
      <c r="E164" s="7" t="s">
        <v>55</v>
      </c>
      <c r="F164" s="8">
        <v>13</v>
      </c>
      <c r="G164" s="8" t="s">
        <v>115</v>
      </c>
      <c r="H164" s="8">
        <f>VLOOKUP(E164,'[1]Master File'!$A:$F,5,0)*F164</f>
        <v>1573</v>
      </c>
      <c r="I164" s="8">
        <f>VLOOKUP($E164,'[1]Master File'!$A:$F,6,0)*$F164</f>
        <v>1840.4099999999999</v>
      </c>
    </row>
    <row r="165" spans="1:9" x14ac:dyDescent="0.3">
      <c r="A165" s="6">
        <v>44411</v>
      </c>
      <c r="B165" s="6" t="s">
        <v>133</v>
      </c>
      <c r="C165" s="16">
        <v>3</v>
      </c>
      <c r="D165" s="6" t="s">
        <v>114</v>
      </c>
      <c r="E165" s="7" t="s">
        <v>80</v>
      </c>
      <c r="F165" s="8">
        <v>12</v>
      </c>
      <c r="G165" s="8" t="s">
        <v>115</v>
      </c>
      <c r="H165" s="8">
        <f>VLOOKUP(E165,'[1]Master File'!$A:$F,5,0)*F165</f>
        <v>660</v>
      </c>
      <c r="I165" s="8">
        <f>VLOOKUP($E165,'[1]Master File'!$A:$F,6,0)*$F165</f>
        <v>699.59999999999991</v>
      </c>
    </row>
    <row r="166" spans="1:9" x14ac:dyDescent="0.3">
      <c r="A166" s="6">
        <v>44413</v>
      </c>
      <c r="B166" s="6" t="s">
        <v>133</v>
      </c>
      <c r="C166" s="16">
        <v>5</v>
      </c>
      <c r="D166" s="6" t="s">
        <v>114</v>
      </c>
      <c r="E166" s="7" t="s">
        <v>68</v>
      </c>
      <c r="F166" s="8">
        <v>14</v>
      </c>
      <c r="G166" s="8" t="s">
        <v>117</v>
      </c>
      <c r="H166" s="8">
        <f>VLOOKUP(E166,'[1]Master File'!$A:$F,5,0)*F166</f>
        <v>518</v>
      </c>
      <c r="I166" s="8">
        <f>VLOOKUP($E166,'[1]Master File'!$A:$F,6,0)*$F166</f>
        <v>585.34</v>
      </c>
    </row>
    <row r="167" spans="1:9" x14ac:dyDescent="0.3">
      <c r="A167" s="6">
        <v>44414</v>
      </c>
      <c r="B167" s="6" t="s">
        <v>133</v>
      </c>
      <c r="C167" s="16">
        <v>6</v>
      </c>
      <c r="D167" s="6" t="s">
        <v>114</v>
      </c>
      <c r="E167" s="7" t="s">
        <v>86</v>
      </c>
      <c r="F167" s="8">
        <v>1</v>
      </c>
      <c r="G167" s="8" t="s">
        <v>117</v>
      </c>
      <c r="H167" s="8">
        <f>VLOOKUP(E167,'[1]Master File'!$A:$F,5,0)*F167</f>
        <v>67</v>
      </c>
      <c r="I167" s="8">
        <f>VLOOKUP($E167,'[1]Master File'!$A:$F,6,0)*$F167</f>
        <v>85.76</v>
      </c>
    </row>
    <row r="168" spans="1:9" x14ac:dyDescent="0.3">
      <c r="A168" s="6">
        <v>44418</v>
      </c>
      <c r="B168" s="6" t="s">
        <v>133</v>
      </c>
      <c r="C168" s="16">
        <v>10</v>
      </c>
      <c r="D168" s="6" t="s">
        <v>114</v>
      </c>
      <c r="E168" s="7" t="s">
        <v>17</v>
      </c>
      <c r="F168" s="8">
        <v>4</v>
      </c>
      <c r="G168" s="8" t="s">
        <v>117</v>
      </c>
      <c r="H168" s="8">
        <f>VLOOKUP(E168,'[1]Master File'!$A:$F,5,0)*F168</f>
        <v>532</v>
      </c>
      <c r="I168" s="8">
        <f>VLOOKUP($E168,'[1]Master File'!$A:$F,6,0)*$F168</f>
        <v>622.44000000000005</v>
      </c>
    </row>
    <row r="169" spans="1:9" x14ac:dyDescent="0.3">
      <c r="A169" s="6">
        <v>44418</v>
      </c>
      <c r="B169" s="6" t="s">
        <v>133</v>
      </c>
      <c r="C169" s="16">
        <v>10</v>
      </c>
      <c r="D169" s="6" t="s">
        <v>114</v>
      </c>
      <c r="E169" s="7" t="s">
        <v>101</v>
      </c>
      <c r="F169" s="8">
        <v>10</v>
      </c>
      <c r="G169" s="8" t="s">
        <v>117</v>
      </c>
      <c r="H169" s="8">
        <f>VLOOKUP(E169,'[1]Master File'!$A:$F,5,0)*F169</f>
        <v>760</v>
      </c>
      <c r="I169" s="8">
        <f>VLOOKUP($E169,'[1]Master File'!$A:$F,6,0)*$F169</f>
        <v>820.8</v>
      </c>
    </row>
    <row r="170" spans="1:9" x14ac:dyDescent="0.3">
      <c r="A170" s="6">
        <v>44418</v>
      </c>
      <c r="B170" s="6" t="s">
        <v>133</v>
      </c>
      <c r="C170" s="16">
        <v>10</v>
      </c>
      <c r="D170" s="6" t="s">
        <v>114</v>
      </c>
      <c r="E170" s="7" t="s">
        <v>20</v>
      </c>
      <c r="F170" s="8">
        <v>6</v>
      </c>
      <c r="G170" s="8" t="s">
        <v>117</v>
      </c>
      <c r="H170" s="8">
        <f>VLOOKUP(E170,'[1]Master File'!$A:$F,5,0)*F170</f>
        <v>450</v>
      </c>
      <c r="I170" s="8">
        <f>VLOOKUP($E170,'[1]Master File'!$A:$F,6,0)*$F170</f>
        <v>513</v>
      </c>
    </row>
    <row r="171" spans="1:9" x14ac:dyDescent="0.3">
      <c r="A171" s="6">
        <v>44419</v>
      </c>
      <c r="B171" s="6" t="s">
        <v>133</v>
      </c>
      <c r="C171" s="16">
        <v>11</v>
      </c>
      <c r="D171" s="6" t="s">
        <v>114</v>
      </c>
      <c r="E171" s="7" t="s">
        <v>57</v>
      </c>
      <c r="F171" s="8">
        <v>4</v>
      </c>
      <c r="G171" s="8" t="s">
        <v>115</v>
      </c>
      <c r="H171" s="8">
        <f>VLOOKUP(E171,'[1]Master File'!$A:$F,5,0)*F171</f>
        <v>564</v>
      </c>
      <c r="I171" s="8">
        <f>VLOOKUP($E171,'[1]Master File'!$A:$F,6,0)*$F171</f>
        <v>597.84</v>
      </c>
    </row>
    <row r="172" spans="1:9" x14ac:dyDescent="0.3">
      <c r="A172" s="6">
        <v>44421</v>
      </c>
      <c r="B172" s="6" t="s">
        <v>133</v>
      </c>
      <c r="C172" s="16">
        <v>13</v>
      </c>
      <c r="D172" s="6" t="s">
        <v>114</v>
      </c>
      <c r="E172" s="7" t="s">
        <v>32</v>
      </c>
      <c r="F172" s="8">
        <v>13</v>
      </c>
      <c r="G172" s="8" t="s">
        <v>115</v>
      </c>
      <c r="H172" s="8">
        <f>VLOOKUP(E172,'[1]Master File'!$A:$F,5,0)*F172</f>
        <v>572</v>
      </c>
      <c r="I172" s="8">
        <f>VLOOKUP($E172,'[1]Master File'!$A:$F,6,0)*$F172</f>
        <v>629.19999999999993</v>
      </c>
    </row>
    <row r="173" spans="1:9" x14ac:dyDescent="0.3">
      <c r="A173" s="6">
        <v>44421</v>
      </c>
      <c r="B173" s="6" t="s">
        <v>133</v>
      </c>
      <c r="C173" s="16">
        <v>13</v>
      </c>
      <c r="D173" s="6" t="s">
        <v>114</v>
      </c>
      <c r="E173" s="7" t="s">
        <v>66</v>
      </c>
      <c r="F173" s="8">
        <v>9</v>
      </c>
      <c r="G173" s="8" t="s">
        <v>115</v>
      </c>
      <c r="H173" s="8">
        <f>VLOOKUP(E173,'[1]Master File'!$A:$F,5,0)*F173</f>
        <v>432</v>
      </c>
      <c r="I173" s="8">
        <f>VLOOKUP($E173,'[1]Master File'!$A:$F,6,0)*$F173</f>
        <v>514.08000000000004</v>
      </c>
    </row>
    <row r="174" spans="1:9" x14ac:dyDescent="0.3">
      <c r="A174" s="6">
        <v>44424</v>
      </c>
      <c r="B174" s="6" t="s">
        <v>133</v>
      </c>
      <c r="C174" s="16">
        <v>16</v>
      </c>
      <c r="D174" s="6" t="s">
        <v>114</v>
      </c>
      <c r="E174" s="7" t="s">
        <v>12</v>
      </c>
      <c r="F174" s="8">
        <v>3</v>
      </c>
      <c r="G174" s="8" t="s">
        <v>115</v>
      </c>
      <c r="H174" s="8">
        <f>VLOOKUP(E174,'[1]Master File'!$A:$F,5,0)*F174</f>
        <v>213</v>
      </c>
      <c r="I174" s="8">
        <f>VLOOKUP($E174,'[1]Master File'!$A:$F,6,0)*$F174</f>
        <v>242.82</v>
      </c>
    </row>
    <row r="175" spans="1:9" x14ac:dyDescent="0.3">
      <c r="A175" s="6">
        <v>44426</v>
      </c>
      <c r="B175" s="6" t="s">
        <v>133</v>
      </c>
      <c r="C175" s="16">
        <v>18</v>
      </c>
      <c r="D175" s="6" t="s">
        <v>114</v>
      </c>
      <c r="E175" s="7" t="s">
        <v>61</v>
      </c>
      <c r="F175" s="8">
        <v>6</v>
      </c>
      <c r="G175" s="8" t="s">
        <v>115</v>
      </c>
      <c r="H175" s="8">
        <f>VLOOKUP(E175,'[1]Master File'!$A:$F,5,0)*F175</f>
        <v>42</v>
      </c>
      <c r="I175" s="8">
        <f>VLOOKUP($E175,'[1]Master File'!$A:$F,6,0)*$F175</f>
        <v>49.980000000000004</v>
      </c>
    </row>
    <row r="176" spans="1:9" x14ac:dyDescent="0.3">
      <c r="A176" s="6">
        <v>44428</v>
      </c>
      <c r="B176" s="6" t="s">
        <v>133</v>
      </c>
      <c r="C176" s="16">
        <v>20</v>
      </c>
      <c r="D176" s="6" t="s">
        <v>114</v>
      </c>
      <c r="E176" s="7" t="s">
        <v>50</v>
      </c>
      <c r="F176" s="8">
        <v>15</v>
      </c>
      <c r="G176" s="8" t="s">
        <v>117</v>
      </c>
      <c r="H176" s="8">
        <f>VLOOKUP(E176,'[1]Master File'!$A:$F,5,0)*F176</f>
        <v>915</v>
      </c>
      <c r="I176" s="8">
        <f>VLOOKUP($E176,'[1]Master File'!$A:$F,6,0)*$F176</f>
        <v>1143.75</v>
      </c>
    </row>
    <row r="177" spans="1:9" x14ac:dyDescent="0.3">
      <c r="A177" s="6">
        <v>44428</v>
      </c>
      <c r="B177" s="6" t="s">
        <v>133</v>
      </c>
      <c r="C177" s="16">
        <v>20</v>
      </c>
      <c r="D177" s="6" t="s">
        <v>114</v>
      </c>
      <c r="E177" s="7" t="s">
        <v>74</v>
      </c>
      <c r="F177" s="8">
        <v>9</v>
      </c>
      <c r="G177" s="8" t="s">
        <v>115</v>
      </c>
      <c r="H177" s="8">
        <f>VLOOKUP(E177,'[1]Master File'!$A:$F,5,0)*F177</f>
        <v>837</v>
      </c>
      <c r="I177" s="8">
        <f>VLOOKUP($E177,'[1]Master File'!$A:$F,6,0)*$F177</f>
        <v>937.43999999999994</v>
      </c>
    </row>
    <row r="178" spans="1:9" x14ac:dyDescent="0.3">
      <c r="A178" s="6">
        <v>44428</v>
      </c>
      <c r="B178" s="6" t="s">
        <v>133</v>
      </c>
      <c r="C178" s="16">
        <v>20</v>
      </c>
      <c r="D178" s="6" t="s">
        <v>114</v>
      </c>
      <c r="E178" s="7" t="s">
        <v>68</v>
      </c>
      <c r="F178" s="8">
        <v>13</v>
      </c>
      <c r="G178" s="8" t="s">
        <v>115</v>
      </c>
      <c r="H178" s="8">
        <f>VLOOKUP(E178,'[1]Master File'!$A:$F,5,0)*F178</f>
        <v>481</v>
      </c>
      <c r="I178" s="8">
        <f>VLOOKUP($E178,'[1]Master File'!$A:$F,6,0)*$F178</f>
        <v>543.53</v>
      </c>
    </row>
    <row r="179" spans="1:9" x14ac:dyDescent="0.3">
      <c r="A179" s="6">
        <v>44434</v>
      </c>
      <c r="B179" s="6" t="s">
        <v>133</v>
      </c>
      <c r="C179" s="16">
        <v>26</v>
      </c>
      <c r="D179" s="6" t="s">
        <v>114</v>
      </c>
      <c r="E179" s="7" t="s">
        <v>91</v>
      </c>
      <c r="F179" s="8">
        <v>4</v>
      </c>
      <c r="G179" s="8" t="s">
        <v>115</v>
      </c>
      <c r="H179" s="8">
        <f>VLOOKUP(E179,'[1]Master File'!$A:$F,5,0)*F179</f>
        <v>148</v>
      </c>
      <c r="I179" s="8">
        <f>VLOOKUP($E179,'[1]Master File'!$A:$F,6,0)*$F179</f>
        <v>170.2</v>
      </c>
    </row>
    <row r="180" spans="1:9" x14ac:dyDescent="0.3">
      <c r="A180" s="6">
        <v>44437</v>
      </c>
      <c r="B180" s="6" t="s">
        <v>133</v>
      </c>
      <c r="C180" s="16">
        <v>29</v>
      </c>
      <c r="D180" s="6" t="s">
        <v>114</v>
      </c>
      <c r="E180" s="7" t="s">
        <v>80</v>
      </c>
      <c r="F180" s="8">
        <v>12</v>
      </c>
      <c r="G180" s="8" t="s">
        <v>115</v>
      </c>
      <c r="H180" s="8">
        <f>VLOOKUP(E180,'[1]Master File'!$A:$F,5,0)*F180</f>
        <v>660</v>
      </c>
      <c r="I180" s="8">
        <f>VLOOKUP($E180,'[1]Master File'!$A:$F,6,0)*$F180</f>
        <v>699.59999999999991</v>
      </c>
    </row>
    <row r="181" spans="1:9" x14ac:dyDescent="0.3">
      <c r="A181" s="6">
        <v>44438</v>
      </c>
      <c r="B181" s="6" t="s">
        <v>133</v>
      </c>
      <c r="C181" s="16">
        <v>30</v>
      </c>
      <c r="D181" s="6" t="s">
        <v>114</v>
      </c>
      <c r="E181" s="7" t="s">
        <v>36</v>
      </c>
      <c r="F181" s="8">
        <v>13</v>
      </c>
      <c r="G181" s="8" t="s">
        <v>115</v>
      </c>
      <c r="H181" s="8">
        <f>VLOOKUP(E181,'[1]Master File'!$A:$F,5,0)*F181</f>
        <v>1456</v>
      </c>
      <c r="I181" s="8">
        <f>VLOOKUP($E181,'[1]Master File'!$A:$F,6,0)*$F181</f>
        <v>1587.04</v>
      </c>
    </row>
    <row r="182" spans="1:9" x14ac:dyDescent="0.3">
      <c r="A182" s="6">
        <v>44439</v>
      </c>
      <c r="B182" s="6" t="s">
        <v>133</v>
      </c>
      <c r="C182" s="16">
        <v>31</v>
      </c>
      <c r="D182" s="6" t="s">
        <v>114</v>
      </c>
      <c r="E182" s="7" t="s">
        <v>6</v>
      </c>
      <c r="F182" s="8">
        <v>2</v>
      </c>
      <c r="G182" s="8" t="s">
        <v>115</v>
      </c>
      <c r="H182" s="8">
        <f>VLOOKUP(E182,'[1]Master File'!$A:$F,5,0)*F182</f>
        <v>196</v>
      </c>
      <c r="I182" s="8">
        <f>VLOOKUP($E182,'[1]Master File'!$A:$F,6,0)*$F182</f>
        <v>207.76</v>
      </c>
    </row>
    <row r="183" spans="1:9" x14ac:dyDescent="0.3">
      <c r="A183" s="6">
        <v>44439</v>
      </c>
      <c r="B183" s="6" t="s">
        <v>133</v>
      </c>
      <c r="C183" s="16">
        <v>31</v>
      </c>
      <c r="D183" s="6" t="s">
        <v>114</v>
      </c>
      <c r="E183" s="7" t="s">
        <v>82</v>
      </c>
      <c r="F183" s="8">
        <v>11</v>
      </c>
      <c r="G183" s="8" t="s">
        <v>115</v>
      </c>
      <c r="H183" s="8">
        <f>VLOOKUP(E183,'[1]Master File'!$A:$F,5,0)*F183</f>
        <v>55</v>
      </c>
      <c r="I183" s="8">
        <f>VLOOKUP($E183,'[1]Master File'!$A:$F,6,0)*$F183</f>
        <v>73.7</v>
      </c>
    </row>
    <row r="184" spans="1:9" x14ac:dyDescent="0.3">
      <c r="A184" s="6">
        <v>44440</v>
      </c>
      <c r="B184" s="6" t="s">
        <v>134</v>
      </c>
      <c r="C184" s="16">
        <v>1</v>
      </c>
      <c r="D184" s="6" t="s">
        <v>114</v>
      </c>
      <c r="E184" s="7" t="s">
        <v>59</v>
      </c>
      <c r="F184" s="8">
        <v>1</v>
      </c>
      <c r="G184" s="8" t="s">
        <v>117</v>
      </c>
      <c r="H184" s="8">
        <f>VLOOKUP(E184,'[1]Master File'!$A:$F,5,0)*F184</f>
        <v>144</v>
      </c>
      <c r="I184" s="8">
        <f>VLOOKUP($E184,'[1]Master File'!$A:$F,6,0)*$F184</f>
        <v>156.96</v>
      </c>
    </row>
    <row r="185" spans="1:9" x14ac:dyDescent="0.3">
      <c r="A185" s="6">
        <v>44440</v>
      </c>
      <c r="B185" s="6" t="s">
        <v>134</v>
      </c>
      <c r="C185" s="16">
        <v>1</v>
      </c>
      <c r="D185" s="6" t="s">
        <v>114</v>
      </c>
      <c r="E185" s="7" t="s">
        <v>12</v>
      </c>
      <c r="F185" s="8">
        <v>14</v>
      </c>
      <c r="G185" s="8" t="s">
        <v>115</v>
      </c>
      <c r="H185" s="8">
        <f>VLOOKUP(E185,'[1]Master File'!$A:$F,5,0)*F185</f>
        <v>994</v>
      </c>
      <c r="I185" s="8">
        <f>VLOOKUP($E185,'[1]Master File'!$A:$F,6,0)*$F185</f>
        <v>1133.1599999999999</v>
      </c>
    </row>
    <row r="186" spans="1:9" x14ac:dyDescent="0.3">
      <c r="A186" s="6">
        <v>44442</v>
      </c>
      <c r="B186" s="6" t="s">
        <v>134</v>
      </c>
      <c r="C186" s="16">
        <v>3</v>
      </c>
      <c r="D186" s="6" t="s">
        <v>114</v>
      </c>
      <c r="E186" s="7" t="s">
        <v>95</v>
      </c>
      <c r="F186" s="8">
        <v>8</v>
      </c>
      <c r="G186" s="8" t="s">
        <v>115</v>
      </c>
      <c r="H186" s="8">
        <f>VLOOKUP(E186,'[1]Master File'!$A:$F,5,0)*F186</f>
        <v>1104</v>
      </c>
      <c r="I186" s="8">
        <f>VLOOKUP($E186,'[1]Master File'!$A:$F,6,0)*$F186</f>
        <v>1391.04</v>
      </c>
    </row>
    <row r="187" spans="1:9" x14ac:dyDescent="0.3">
      <c r="A187" s="6">
        <v>44443</v>
      </c>
      <c r="B187" s="6" t="s">
        <v>134</v>
      </c>
      <c r="C187" s="16">
        <v>4</v>
      </c>
      <c r="D187" s="6" t="s">
        <v>114</v>
      </c>
      <c r="E187" s="7" t="s">
        <v>68</v>
      </c>
      <c r="F187" s="8">
        <v>7</v>
      </c>
      <c r="G187" s="8" t="s">
        <v>115</v>
      </c>
      <c r="H187" s="8">
        <f>VLOOKUP(E187,'[1]Master File'!$A:$F,5,0)*F187</f>
        <v>259</v>
      </c>
      <c r="I187" s="8">
        <f>VLOOKUP($E187,'[1]Master File'!$A:$F,6,0)*$F187</f>
        <v>292.67</v>
      </c>
    </row>
    <row r="188" spans="1:9" x14ac:dyDescent="0.3">
      <c r="A188" s="6">
        <v>44443</v>
      </c>
      <c r="B188" s="6" t="s">
        <v>134</v>
      </c>
      <c r="C188" s="16">
        <v>4</v>
      </c>
      <c r="D188" s="6" t="s">
        <v>114</v>
      </c>
      <c r="E188" s="7" t="s">
        <v>57</v>
      </c>
      <c r="F188" s="8">
        <v>15</v>
      </c>
      <c r="G188" s="8" t="s">
        <v>115</v>
      </c>
      <c r="H188" s="8">
        <f>VLOOKUP(E188,'[1]Master File'!$A:$F,5,0)*F188</f>
        <v>2115</v>
      </c>
      <c r="I188" s="8">
        <f>VLOOKUP($E188,'[1]Master File'!$A:$F,6,0)*$F188</f>
        <v>2241.9</v>
      </c>
    </row>
    <row r="189" spans="1:9" x14ac:dyDescent="0.3">
      <c r="A189" s="6">
        <v>44444</v>
      </c>
      <c r="B189" s="6" t="s">
        <v>134</v>
      </c>
      <c r="C189" s="16">
        <v>5</v>
      </c>
      <c r="D189" s="6" t="s">
        <v>114</v>
      </c>
      <c r="E189" s="7" t="s">
        <v>76</v>
      </c>
      <c r="F189" s="8">
        <v>1</v>
      </c>
      <c r="G189" s="8" t="s">
        <v>117</v>
      </c>
      <c r="H189" s="8">
        <f>VLOOKUP(E189,'[1]Master File'!$A:$F,5,0)*F189</f>
        <v>89</v>
      </c>
      <c r="I189" s="8">
        <f>VLOOKUP($E189,'[1]Master File'!$A:$F,6,0)*$F189</f>
        <v>117.48</v>
      </c>
    </row>
    <row r="190" spans="1:9" x14ac:dyDescent="0.3">
      <c r="A190" s="6">
        <v>44446</v>
      </c>
      <c r="B190" s="6" t="s">
        <v>134</v>
      </c>
      <c r="C190" s="16">
        <v>7</v>
      </c>
      <c r="D190" s="6" t="s">
        <v>114</v>
      </c>
      <c r="E190" s="7" t="s">
        <v>48</v>
      </c>
      <c r="F190" s="8">
        <v>5</v>
      </c>
      <c r="G190" s="8" t="s">
        <v>115</v>
      </c>
      <c r="H190" s="8">
        <f>VLOOKUP(E190,'[1]Master File'!$A:$F,5,0)*F190</f>
        <v>750</v>
      </c>
      <c r="I190" s="8">
        <f>VLOOKUP($E190,'[1]Master File'!$A:$F,6,0)*$F190</f>
        <v>1050</v>
      </c>
    </row>
    <row r="191" spans="1:9" x14ac:dyDescent="0.3">
      <c r="A191" s="6">
        <v>44448</v>
      </c>
      <c r="B191" s="6" t="s">
        <v>134</v>
      </c>
      <c r="C191" s="16">
        <v>9</v>
      </c>
      <c r="D191" s="6" t="s">
        <v>114</v>
      </c>
      <c r="E191" s="7" t="s">
        <v>101</v>
      </c>
      <c r="F191" s="8">
        <v>4</v>
      </c>
      <c r="G191" s="8" t="s">
        <v>115</v>
      </c>
      <c r="H191" s="8">
        <f>VLOOKUP(E191,'[1]Master File'!$A:$F,5,0)*F191</f>
        <v>304</v>
      </c>
      <c r="I191" s="8">
        <f>VLOOKUP($E191,'[1]Master File'!$A:$F,6,0)*$F191</f>
        <v>328.32</v>
      </c>
    </row>
    <row r="192" spans="1:9" x14ac:dyDescent="0.3">
      <c r="A192" s="6">
        <v>44449</v>
      </c>
      <c r="B192" s="6" t="s">
        <v>134</v>
      </c>
      <c r="C192" s="16">
        <v>10</v>
      </c>
      <c r="D192" s="6" t="s">
        <v>114</v>
      </c>
      <c r="E192" s="7" t="s">
        <v>72</v>
      </c>
      <c r="F192" s="8">
        <v>6</v>
      </c>
      <c r="G192" s="8" t="s">
        <v>115</v>
      </c>
      <c r="H192" s="8">
        <f>VLOOKUP(E192,'[1]Master File'!$A:$F,5,0)*F192</f>
        <v>888</v>
      </c>
      <c r="I192" s="8">
        <f>VLOOKUP($E192,'[1]Master File'!$A:$F,6,0)*$F192</f>
        <v>1207.68</v>
      </c>
    </row>
    <row r="193" spans="1:9" x14ac:dyDescent="0.3">
      <c r="A193" s="6">
        <v>44449</v>
      </c>
      <c r="B193" s="6" t="s">
        <v>134</v>
      </c>
      <c r="C193" s="16">
        <v>10</v>
      </c>
      <c r="D193" s="6" t="s">
        <v>114</v>
      </c>
      <c r="E193" s="7" t="s">
        <v>6</v>
      </c>
      <c r="F193" s="8">
        <v>9</v>
      </c>
      <c r="G193" s="8" t="s">
        <v>115</v>
      </c>
      <c r="H193" s="8">
        <f>VLOOKUP(E193,'[1]Master File'!$A:$F,5,0)*F193</f>
        <v>882</v>
      </c>
      <c r="I193" s="8">
        <f>VLOOKUP($E193,'[1]Master File'!$A:$F,6,0)*$F193</f>
        <v>934.92</v>
      </c>
    </row>
    <row r="194" spans="1:9" x14ac:dyDescent="0.3">
      <c r="A194" s="6">
        <v>44449</v>
      </c>
      <c r="B194" s="6" t="s">
        <v>134</v>
      </c>
      <c r="C194" s="16">
        <v>10</v>
      </c>
      <c r="D194" s="6" t="s">
        <v>114</v>
      </c>
      <c r="E194" s="7" t="s">
        <v>63</v>
      </c>
      <c r="F194" s="8">
        <v>2</v>
      </c>
      <c r="G194" s="8" t="s">
        <v>115</v>
      </c>
      <c r="H194" s="8">
        <f>VLOOKUP(E194,'[1]Master File'!$A:$F,5,0)*F194</f>
        <v>36</v>
      </c>
      <c r="I194" s="8">
        <f>VLOOKUP($E194,'[1]Master File'!$A:$F,6,0)*$F194</f>
        <v>49.32</v>
      </c>
    </row>
    <row r="195" spans="1:9" x14ac:dyDescent="0.3">
      <c r="A195" s="6">
        <v>44450</v>
      </c>
      <c r="B195" s="6" t="s">
        <v>134</v>
      </c>
      <c r="C195" s="16">
        <v>11</v>
      </c>
      <c r="D195" s="6" t="s">
        <v>114</v>
      </c>
      <c r="E195" s="7" t="s">
        <v>6</v>
      </c>
      <c r="F195" s="8">
        <v>6</v>
      </c>
      <c r="G195" s="8" t="s">
        <v>115</v>
      </c>
      <c r="H195" s="8">
        <f>VLOOKUP(E195,'[1]Master File'!$A:$F,5,0)*F195</f>
        <v>588</v>
      </c>
      <c r="I195" s="8">
        <f>VLOOKUP($E195,'[1]Master File'!$A:$F,6,0)*$F195</f>
        <v>623.28</v>
      </c>
    </row>
    <row r="196" spans="1:9" x14ac:dyDescent="0.3">
      <c r="A196" s="6">
        <v>44452</v>
      </c>
      <c r="B196" s="6" t="s">
        <v>134</v>
      </c>
      <c r="C196" s="16">
        <v>13</v>
      </c>
      <c r="D196" s="6" t="s">
        <v>114</v>
      </c>
      <c r="E196" s="7" t="s">
        <v>95</v>
      </c>
      <c r="F196" s="8">
        <v>7</v>
      </c>
      <c r="G196" s="8" t="s">
        <v>117</v>
      </c>
      <c r="H196" s="8">
        <f>VLOOKUP(E196,'[1]Master File'!$A:$F,5,0)*F196</f>
        <v>966</v>
      </c>
      <c r="I196" s="8">
        <f>VLOOKUP($E196,'[1]Master File'!$A:$F,6,0)*$F196</f>
        <v>1217.1599999999999</v>
      </c>
    </row>
    <row r="197" spans="1:9" x14ac:dyDescent="0.3">
      <c r="A197" s="6">
        <v>44454</v>
      </c>
      <c r="B197" s="6" t="s">
        <v>134</v>
      </c>
      <c r="C197" s="16">
        <v>15</v>
      </c>
      <c r="D197" s="6" t="s">
        <v>114</v>
      </c>
      <c r="E197" s="7" t="s">
        <v>97</v>
      </c>
      <c r="F197" s="8">
        <v>6</v>
      </c>
      <c r="G197" s="8" t="s">
        <v>115</v>
      </c>
      <c r="H197" s="8">
        <f>VLOOKUP(E197,'[1]Master File'!$A:$F,5,0)*F197</f>
        <v>720</v>
      </c>
      <c r="I197" s="8">
        <f>VLOOKUP($E197,'[1]Master File'!$A:$F,6,0)*$F197</f>
        <v>972</v>
      </c>
    </row>
    <row r="198" spans="1:9" x14ac:dyDescent="0.3">
      <c r="A198" s="6">
        <v>44454</v>
      </c>
      <c r="B198" s="6" t="s">
        <v>134</v>
      </c>
      <c r="C198" s="16">
        <v>15</v>
      </c>
      <c r="D198" s="6" t="s">
        <v>114</v>
      </c>
      <c r="E198" s="7" t="s">
        <v>97</v>
      </c>
      <c r="F198" s="8">
        <v>14</v>
      </c>
      <c r="G198" s="8" t="s">
        <v>115</v>
      </c>
      <c r="H198" s="8">
        <f>VLOOKUP(E198,'[1]Master File'!$A:$F,5,0)*F198</f>
        <v>1680</v>
      </c>
      <c r="I198" s="8">
        <f>VLOOKUP($E198,'[1]Master File'!$A:$F,6,0)*$F198</f>
        <v>2268</v>
      </c>
    </row>
    <row r="199" spans="1:9" x14ac:dyDescent="0.3">
      <c r="A199" s="6">
        <v>44460</v>
      </c>
      <c r="B199" s="6" t="s">
        <v>134</v>
      </c>
      <c r="C199" s="16">
        <v>21</v>
      </c>
      <c r="D199" s="6" t="s">
        <v>114</v>
      </c>
      <c r="E199" s="7" t="s">
        <v>50</v>
      </c>
      <c r="F199" s="8">
        <v>7</v>
      </c>
      <c r="G199" s="8" t="s">
        <v>117</v>
      </c>
      <c r="H199" s="8">
        <f>VLOOKUP(E199,'[1]Master File'!$A:$F,5,0)*F199</f>
        <v>427</v>
      </c>
      <c r="I199" s="8">
        <f>VLOOKUP($E199,'[1]Master File'!$A:$F,6,0)*$F199</f>
        <v>533.75</v>
      </c>
    </row>
    <row r="200" spans="1:9" x14ac:dyDescent="0.3">
      <c r="A200" s="6">
        <v>44461</v>
      </c>
      <c r="B200" s="6" t="s">
        <v>134</v>
      </c>
      <c r="C200" s="16">
        <v>22</v>
      </c>
      <c r="D200" s="6" t="s">
        <v>114</v>
      </c>
      <c r="E200" s="7" t="s">
        <v>93</v>
      </c>
      <c r="F200" s="8">
        <v>2</v>
      </c>
      <c r="G200" s="8" t="s">
        <v>117</v>
      </c>
      <c r="H200" s="8">
        <f>VLOOKUP(E200,'[1]Master File'!$A:$F,5,0)*F200</f>
        <v>180</v>
      </c>
      <c r="I200" s="8">
        <f>VLOOKUP($E200,'[1]Master File'!$A:$F,6,0)*$F200</f>
        <v>230.4</v>
      </c>
    </row>
    <row r="201" spans="1:9" x14ac:dyDescent="0.3">
      <c r="A201" s="6">
        <v>44461</v>
      </c>
      <c r="B201" s="6" t="s">
        <v>134</v>
      </c>
      <c r="C201" s="16">
        <v>22</v>
      </c>
      <c r="D201" s="6" t="s">
        <v>114</v>
      </c>
      <c r="E201" s="7" t="s">
        <v>10</v>
      </c>
      <c r="F201" s="8">
        <v>4</v>
      </c>
      <c r="G201" s="8" t="s">
        <v>117</v>
      </c>
      <c r="H201" s="8">
        <f>VLOOKUP(E201,'[1]Master File'!$A:$F,5,0)*F201</f>
        <v>420</v>
      </c>
      <c r="I201" s="8">
        <f>VLOOKUP($E201,'[1]Master File'!$A:$F,6,0)*$F201</f>
        <v>571.20000000000005</v>
      </c>
    </row>
    <row r="202" spans="1:9" x14ac:dyDescent="0.3">
      <c r="A202" s="6">
        <v>44462</v>
      </c>
      <c r="B202" s="6" t="s">
        <v>134</v>
      </c>
      <c r="C202" s="16">
        <v>23</v>
      </c>
      <c r="D202" s="6" t="s">
        <v>114</v>
      </c>
      <c r="E202" s="7" t="s">
        <v>46</v>
      </c>
      <c r="F202" s="8">
        <v>12</v>
      </c>
      <c r="G202" s="8" t="s">
        <v>117</v>
      </c>
      <c r="H202" s="8">
        <f>VLOOKUP(E202,'[1]Master File'!$A:$F,5,0)*F202</f>
        <v>444</v>
      </c>
      <c r="I202" s="8">
        <f>VLOOKUP($E202,'[1]Master File'!$A:$F,6,0)*$F202</f>
        <v>590.52</v>
      </c>
    </row>
    <row r="203" spans="1:9" x14ac:dyDescent="0.3">
      <c r="A203" s="6">
        <v>44462</v>
      </c>
      <c r="B203" s="6" t="s">
        <v>134</v>
      </c>
      <c r="C203" s="16">
        <v>23</v>
      </c>
      <c r="D203" s="6" t="s">
        <v>114</v>
      </c>
      <c r="E203" s="7" t="s">
        <v>53</v>
      </c>
      <c r="F203" s="8">
        <v>7</v>
      </c>
      <c r="G203" s="8" t="s">
        <v>115</v>
      </c>
      <c r="H203" s="8">
        <f>VLOOKUP(E203,'[1]Master File'!$A:$F,5,0)*F203</f>
        <v>882</v>
      </c>
      <c r="I203" s="8">
        <f>VLOOKUP($E203,'[1]Master File'!$A:$F,6,0)*$F203</f>
        <v>1137.78</v>
      </c>
    </row>
    <row r="204" spans="1:9" x14ac:dyDescent="0.3">
      <c r="A204" s="6">
        <v>44466</v>
      </c>
      <c r="B204" s="6" t="s">
        <v>134</v>
      </c>
      <c r="C204" s="16">
        <v>27</v>
      </c>
      <c r="D204" s="6" t="s">
        <v>114</v>
      </c>
      <c r="E204" s="7" t="s">
        <v>80</v>
      </c>
      <c r="F204" s="8">
        <v>1</v>
      </c>
      <c r="G204" s="8" t="s">
        <v>117</v>
      </c>
      <c r="H204" s="8">
        <f>VLOOKUP(E204,'[1]Master File'!$A:$F,5,0)*F204</f>
        <v>55</v>
      </c>
      <c r="I204" s="8">
        <f>VLOOKUP($E204,'[1]Master File'!$A:$F,6,0)*$F204</f>
        <v>58.3</v>
      </c>
    </row>
    <row r="205" spans="1:9" x14ac:dyDescent="0.3">
      <c r="A205" s="6">
        <v>44469</v>
      </c>
      <c r="B205" s="6" t="s">
        <v>134</v>
      </c>
      <c r="C205" s="16">
        <v>30</v>
      </c>
      <c r="D205" s="6" t="s">
        <v>114</v>
      </c>
      <c r="E205" s="7" t="s">
        <v>38</v>
      </c>
      <c r="F205" s="8">
        <v>9</v>
      </c>
      <c r="G205" s="8" t="s">
        <v>115</v>
      </c>
      <c r="H205" s="8">
        <f>VLOOKUP(E205,'[1]Master File'!$A:$F,5,0)*F205</f>
        <v>1008</v>
      </c>
      <c r="I205" s="8">
        <f>VLOOKUP($E205,'[1]Master File'!$A:$F,6,0)*$F205</f>
        <v>1320.48</v>
      </c>
    </row>
    <row r="206" spans="1:9" x14ac:dyDescent="0.3">
      <c r="A206" s="6">
        <v>44469</v>
      </c>
      <c r="B206" s="6" t="s">
        <v>134</v>
      </c>
      <c r="C206" s="16">
        <v>30</v>
      </c>
      <c r="D206" s="6" t="s">
        <v>114</v>
      </c>
      <c r="E206" s="7" t="s">
        <v>20</v>
      </c>
      <c r="F206" s="8">
        <v>5</v>
      </c>
      <c r="G206" s="8" t="s">
        <v>115</v>
      </c>
      <c r="H206" s="8">
        <f>VLOOKUP(E206,'[1]Master File'!$A:$F,5,0)*F206</f>
        <v>375</v>
      </c>
      <c r="I206" s="8">
        <f>VLOOKUP($E206,'[1]Master File'!$A:$F,6,0)*$F206</f>
        <v>427.5</v>
      </c>
    </row>
    <row r="207" spans="1:9" x14ac:dyDescent="0.3">
      <c r="A207" s="6">
        <v>44470</v>
      </c>
      <c r="B207" s="6" t="s">
        <v>135</v>
      </c>
      <c r="C207" s="16">
        <v>1</v>
      </c>
      <c r="D207" s="6" t="s">
        <v>114</v>
      </c>
      <c r="E207" s="7" t="s">
        <v>72</v>
      </c>
      <c r="F207" s="8">
        <v>14</v>
      </c>
      <c r="G207" s="8" t="s">
        <v>117</v>
      </c>
      <c r="H207" s="8">
        <f>VLOOKUP(E207,'[1]Master File'!$A:$F,5,0)*F207</f>
        <v>2072</v>
      </c>
      <c r="I207" s="8">
        <f>VLOOKUP($E207,'[1]Master File'!$A:$F,6,0)*$F207</f>
        <v>2817.92</v>
      </c>
    </row>
    <row r="208" spans="1:9" x14ac:dyDescent="0.3">
      <c r="A208" s="6">
        <v>44471</v>
      </c>
      <c r="B208" s="6" t="s">
        <v>135</v>
      </c>
      <c r="C208" s="16">
        <v>2</v>
      </c>
      <c r="D208" s="6" t="s">
        <v>114</v>
      </c>
      <c r="E208" s="7" t="s">
        <v>38</v>
      </c>
      <c r="F208" s="8">
        <v>15</v>
      </c>
      <c r="G208" s="8" t="s">
        <v>115</v>
      </c>
      <c r="H208" s="8">
        <f>VLOOKUP(E208,'[1]Master File'!$A:$F,5,0)*F208</f>
        <v>1680</v>
      </c>
      <c r="I208" s="8">
        <f>VLOOKUP($E208,'[1]Master File'!$A:$F,6,0)*$F208</f>
        <v>2200.8000000000002</v>
      </c>
    </row>
    <row r="209" spans="1:9" x14ac:dyDescent="0.3">
      <c r="A209" s="6">
        <v>44472</v>
      </c>
      <c r="B209" s="6" t="s">
        <v>135</v>
      </c>
      <c r="C209" s="16">
        <v>3</v>
      </c>
      <c r="D209" s="6" t="s">
        <v>114</v>
      </c>
      <c r="E209" s="7" t="s">
        <v>48</v>
      </c>
      <c r="F209" s="8">
        <v>9</v>
      </c>
      <c r="G209" s="8" t="s">
        <v>115</v>
      </c>
      <c r="H209" s="8">
        <f>VLOOKUP(E209,'[1]Master File'!$A:$F,5,0)*F209</f>
        <v>1350</v>
      </c>
      <c r="I209" s="8">
        <f>VLOOKUP($E209,'[1]Master File'!$A:$F,6,0)*$F209</f>
        <v>1890</v>
      </c>
    </row>
    <row r="210" spans="1:9" x14ac:dyDescent="0.3">
      <c r="A210" s="6">
        <v>44475</v>
      </c>
      <c r="B210" s="6" t="s">
        <v>135</v>
      </c>
      <c r="C210" s="16">
        <v>6</v>
      </c>
      <c r="D210" s="6" t="s">
        <v>114</v>
      </c>
      <c r="E210" s="7" t="s">
        <v>82</v>
      </c>
      <c r="F210" s="8">
        <v>1</v>
      </c>
      <c r="G210" s="8" t="s">
        <v>115</v>
      </c>
      <c r="H210" s="8">
        <f>VLOOKUP(E210,'[1]Master File'!$A:$F,5,0)*F210</f>
        <v>5</v>
      </c>
      <c r="I210" s="8">
        <f>VLOOKUP($E210,'[1]Master File'!$A:$F,6,0)*$F210</f>
        <v>6.7</v>
      </c>
    </row>
    <row r="211" spans="1:9" x14ac:dyDescent="0.3">
      <c r="A211" s="6">
        <v>44475</v>
      </c>
      <c r="B211" s="6" t="s">
        <v>135</v>
      </c>
      <c r="C211" s="16">
        <v>6</v>
      </c>
      <c r="D211" s="6" t="s">
        <v>114</v>
      </c>
      <c r="E211" s="7" t="s">
        <v>84</v>
      </c>
      <c r="F211" s="8">
        <v>12</v>
      </c>
      <c r="G211" s="8" t="s">
        <v>115</v>
      </c>
      <c r="H211" s="8">
        <f>VLOOKUP(E211,'[1]Master File'!$A:$F,5,0)*F211</f>
        <v>1080</v>
      </c>
      <c r="I211" s="8">
        <f>VLOOKUP($E211,'[1]Master File'!$A:$F,6,0)*$F211</f>
        <v>1155.5999999999999</v>
      </c>
    </row>
    <row r="212" spans="1:9" x14ac:dyDescent="0.3">
      <c r="A212" s="6">
        <v>44476</v>
      </c>
      <c r="B212" s="6" t="s">
        <v>135</v>
      </c>
      <c r="C212" s="16">
        <v>7</v>
      </c>
      <c r="D212" s="6" t="s">
        <v>114</v>
      </c>
      <c r="E212" s="7" t="s">
        <v>63</v>
      </c>
      <c r="F212" s="8">
        <v>6</v>
      </c>
      <c r="G212" s="8" t="s">
        <v>117</v>
      </c>
      <c r="H212" s="8">
        <f>VLOOKUP(E212,'[1]Master File'!$A:$F,5,0)*F212</f>
        <v>108</v>
      </c>
      <c r="I212" s="8">
        <f>VLOOKUP($E212,'[1]Master File'!$A:$F,6,0)*$F212</f>
        <v>147.96</v>
      </c>
    </row>
    <row r="213" spans="1:9" x14ac:dyDescent="0.3">
      <c r="A213" s="6">
        <v>44478</v>
      </c>
      <c r="B213" s="6" t="s">
        <v>135</v>
      </c>
      <c r="C213" s="16">
        <v>9</v>
      </c>
      <c r="D213" s="6" t="s">
        <v>114</v>
      </c>
      <c r="E213" s="7" t="s">
        <v>89</v>
      </c>
      <c r="F213" s="8">
        <v>5</v>
      </c>
      <c r="G213" s="8" t="s">
        <v>117</v>
      </c>
      <c r="H213" s="8">
        <f>VLOOKUP(E213,'[1]Master File'!$A:$F,5,0)*F213</f>
        <v>360</v>
      </c>
      <c r="I213" s="8">
        <f>VLOOKUP($E213,'[1]Master File'!$A:$F,6,0)*$F213</f>
        <v>399.6</v>
      </c>
    </row>
    <row r="214" spans="1:9" x14ac:dyDescent="0.3">
      <c r="A214" s="6">
        <v>44478</v>
      </c>
      <c r="B214" s="6" t="s">
        <v>135</v>
      </c>
      <c r="C214" s="16">
        <v>9</v>
      </c>
      <c r="D214" s="6" t="s">
        <v>114</v>
      </c>
      <c r="E214" s="7" t="s">
        <v>76</v>
      </c>
      <c r="F214" s="8">
        <v>11</v>
      </c>
      <c r="G214" s="8" t="s">
        <v>117</v>
      </c>
      <c r="H214" s="8">
        <f>VLOOKUP(E214,'[1]Master File'!$A:$F,5,0)*F214</f>
        <v>979</v>
      </c>
      <c r="I214" s="8">
        <f>VLOOKUP($E214,'[1]Master File'!$A:$F,6,0)*$F214</f>
        <v>1292.28</v>
      </c>
    </row>
    <row r="215" spans="1:9" x14ac:dyDescent="0.3">
      <c r="A215" s="6">
        <v>44479</v>
      </c>
      <c r="B215" s="6" t="s">
        <v>135</v>
      </c>
      <c r="C215" s="16">
        <v>10</v>
      </c>
      <c r="D215" s="6" t="s">
        <v>114</v>
      </c>
      <c r="E215" s="7" t="s">
        <v>82</v>
      </c>
      <c r="F215" s="8">
        <v>14</v>
      </c>
      <c r="G215" s="8" t="s">
        <v>117</v>
      </c>
      <c r="H215" s="8">
        <f>VLOOKUP(E215,'[1]Master File'!$A:$F,5,0)*F215</f>
        <v>70</v>
      </c>
      <c r="I215" s="8">
        <f>VLOOKUP($E215,'[1]Master File'!$A:$F,6,0)*$F215</f>
        <v>93.8</v>
      </c>
    </row>
    <row r="216" spans="1:9" x14ac:dyDescent="0.3">
      <c r="A216" s="6">
        <v>44480</v>
      </c>
      <c r="B216" s="6" t="s">
        <v>135</v>
      </c>
      <c r="C216" s="16">
        <v>11</v>
      </c>
      <c r="D216" s="6" t="s">
        <v>114</v>
      </c>
      <c r="E216" s="7" t="s">
        <v>32</v>
      </c>
      <c r="F216" s="8">
        <v>15</v>
      </c>
      <c r="G216" s="8" t="s">
        <v>117</v>
      </c>
      <c r="H216" s="8">
        <f>VLOOKUP(E216,'[1]Master File'!$A:$F,5,0)*F216</f>
        <v>660</v>
      </c>
      <c r="I216" s="8">
        <f>VLOOKUP($E216,'[1]Master File'!$A:$F,6,0)*$F216</f>
        <v>726</v>
      </c>
    </row>
    <row r="217" spans="1:9" x14ac:dyDescent="0.3">
      <c r="A217" s="6">
        <v>44481</v>
      </c>
      <c r="B217" s="6" t="s">
        <v>135</v>
      </c>
      <c r="C217" s="16">
        <v>12</v>
      </c>
      <c r="D217" s="6" t="s">
        <v>114</v>
      </c>
      <c r="E217" s="7" t="s">
        <v>66</v>
      </c>
      <c r="F217" s="8">
        <v>8</v>
      </c>
      <c r="G217" s="8" t="s">
        <v>115</v>
      </c>
      <c r="H217" s="8">
        <f>VLOOKUP(E217,'[1]Master File'!$A:$F,5,0)*F217</f>
        <v>384</v>
      </c>
      <c r="I217" s="8">
        <f>VLOOKUP($E217,'[1]Master File'!$A:$F,6,0)*$F217</f>
        <v>456.96000000000004</v>
      </c>
    </row>
    <row r="218" spans="1:9" x14ac:dyDescent="0.3">
      <c r="A218" s="6">
        <v>44486</v>
      </c>
      <c r="B218" s="6" t="s">
        <v>135</v>
      </c>
      <c r="C218" s="16">
        <v>17</v>
      </c>
      <c r="D218" s="6" t="s">
        <v>114</v>
      </c>
      <c r="E218" s="7" t="s">
        <v>6</v>
      </c>
      <c r="F218" s="8">
        <v>13</v>
      </c>
      <c r="G218" s="8" t="s">
        <v>115</v>
      </c>
      <c r="H218" s="8">
        <f>VLOOKUP(E218,'[1]Master File'!$A:$F,5,0)*F218</f>
        <v>1274</v>
      </c>
      <c r="I218" s="8">
        <f>VLOOKUP($E218,'[1]Master File'!$A:$F,6,0)*$F218</f>
        <v>1350.44</v>
      </c>
    </row>
    <row r="219" spans="1:9" x14ac:dyDescent="0.3">
      <c r="A219" s="6">
        <v>44487</v>
      </c>
      <c r="B219" s="6" t="s">
        <v>135</v>
      </c>
      <c r="C219" s="16">
        <v>18</v>
      </c>
      <c r="D219" s="6" t="s">
        <v>114</v>
      </c>
      <c r="E219" s="7" t="s">
        <v>61</v>
      </c>
      <c r="F219" s="8">
        <v>6</v>
      </c>
      <c r="G219" s="8" t="s">
        <v>117</v>
      </c>
      <c r="H219" s="8">
        <f>VLOOKUP(E219,'[1]Master File'!$A:$F,5,0)*F219</f>
        <v>42</v>
      </c>
      <c r="I219" s="8">
        <f>VLOOKUP($E219,'[1]Master File'!$A:$F,6,0)*$F219</f>
        <v>49.980000000000004</v>
      </c>
    </row>
    <row r="220" spans="1:9" x14ac:dyDescent="0.3">
      <c r="A220" s="6">
        <v>44487</v>
      </c>
      <c r="B220" s="6" t="s">
        <v>135</v>
      </c>
      <c r="C220" s="16">
        <v>18</v>
      </c>
      <c r="D220" s="6" t="s">
        <v>114</v>
      </c>
      <c r="E220" s="7" t="s">
        <v>53</v>
      </c>
      <c r="F220" s="8">
        <v>13</v>
      </c>
      <c r="G220" s="8" t="s">
        <v>117</v>
      </c>
      <c r="H220" s="8">
        <f>VLOOKUP(E220,'[1]Master File'!$A:$F,5,0)*F220</f>
        <v>1638</v>
      </c>
      <c r="I220" s="8">
        <f>VLOOKUP($E220,'[1]Master File'!$A:$F,6,0)*$F220</f>
        <v>2113.02</v>
      </c>
    </row>
    <row r="221" spans="1:9" x14ac:dyDescent="0.3">
      <c r="A221" s="6">
        <v>44491</v>
      </c>
      <c r="B221" s="6" t="s">
        <v>135</v>
      </c>
      <c r="C221" s="16">
        <v>22</v>
      </c>
      <c r="D221" s="6" t="s">
        <v>114</v>
      </c>
      <c r="E221" s="7" t="s">
        <v>32</v>
      </c>
      <c r="F221" s="8">
        <v>7</v>
      </c>
      <c r="G221" s="8" t="s">
        <v>117</v>
      </c>
      <c r="H221" s="8">
        <f>VLOOKUP(E221,'[1]Master File'!$A:$F,5,0)*F221</f>
        <v>308</v>
      </c>
      <c r="I221" s="8">
        <f>VLOOKUP($E221,'[1]Master File'!$A:$F,6,0)*$F221</f>
        <v>338.8</v>
      </c>
    </row>
    <row r="222" spans="1:9" x14ac:dyDescent="0.3">
      <c r="A222" s="6">
        <v>44491</v>
      </c>
      <c r="B222" s="6" t="s">
        <v>135</v>
      </c>
      <c r="C222" s="16">
        <v>22</v>
      </c>
      <c r="D222" s="6" t="s">
        <v>114</v>
      </c>
      <c r="E222" s="7" t="s">
        <v>59</v>
      </c>
      <c r="F222" s="8">
        <v>13</v>
      </c>
      <c r="G222" s="8" t="s">
        <v>117</v>
      </c>
      <c r="H222" s="8">
        <f>VLOOKUP(E222,'[1]Master File'!$A:$F,5,0)*F222</f>
        <v>1872</v>
      </c>
      <c r="I222" s="8">
        <f>VLOOKUP($E222,'[1]Master File'!$A:$F,6,0)*$F222</f>
        <v>2040.48</v>
      </c>
    </row>
    <row r="223" spans="1:9" x14ac:dyDescent="0.3">
      <c r="A223" s="6">
        <v>44491</v>
      </c>
      <c r="B223" s="6" t="s">
        <v>135</v>
      </c>
      <c r="C223" s="16">
        <v>22</v>
      </c>
      <c r="D223" s="6" t="s">
        <v>114</v>
      </c>
      <c r="E223" s="7" t="s">
        <v>26</v>
      </c>
      <c r="F223" s="8">
        <v>1</v>
      </c>
      <c r="G223" s="8" t="s">
        <v>117</v>
      </c>
      <c r="H223" s="8">
        <f>VLOOKUP(E223,'[1]Master File'!$A:$F,5,0)*F223</f>
        <v>6</v>
      </c>
      <c r="I223" s="8">
        <f>VLOOKUP($E223,'[1]Master File'!$A:$F,6,0)*$F223</f>
        <v>7.8599999999999994</v>
      </c>
    </row>
    <row r="224" spans="1:9" x14ac:dyDescent="0.3">
      <c r="A224" s="6">
        <v>44493</v>
      </c>
      <c r="B224" s="6" t="s">
        <v>135</v>
      </c>
      <c r="C224" s="16">
        <v>24</v>
      </c>
      <c r="D224" s="6" t="s">
        <v>114</v>
      </c>
      <c r="E224" s="7" t="s">
        <v>32</v>
      </c>
      <c r="F224" s="8">
        <v>3</v>
      </c>
      <c r="G224" s="8" t="s">
        <v>117</v>
      </c>
      <c r="H224" s="8">
        <f>VLOOKUP(E224,'[1]Master File'!$A:$F,5,0)*F224</f>
        <v>132</v>
      </c>
      <c r="I224" s="8">
        <f>VLOOKUP($E224,'[1]Master File'!$A:$F,6,0)*$F224</f>
        <v>145.19999999999999</v>
      </c>
    </row>
    <row r="225" spans="1:9" x14ac:dyDescent="0.3">
      <c r="A225" s="6">
        <v>44494</v>
      </c>
      <c r="B225" s="6" t="s">
        <v>135</v>
      </c>
      <c r="C225" s="16">
        <v>25</v>
      </c>
      <c r="D225" s="6" t="s">
        <v>114</v>
      </c>
      <c r="E225" s="7" t="s">
        <v>101</v>
      </c>
      <c r="F225" s="8">
        <v>9</v>
      </c>
      <c r="G225" s="8" t="s">
        <v>117</v>
      </c>
      <c r="H225" s="8">
        <f>VLOOKUP(E225,'[1]Master File'!$A:$F,5,0)*F225</f>
        <v>684</v>
      </c>
      <c r="I225" s="8">
        <f>VLOOKUP($E225,'[1]Master File'!$A:$F,6,0)*$F225</f>
        <v>738.72</v>
      </c>
    </row>
    <row r="226" spans="1:9" x14ac:dyDescent="0.3">
      <c r="A226" s="6">
        <v>44495</v>
      </c>
      <c r="B226" s="6" t="s">
        <v>135</v>
      </c>
      <c r="C226" s="16">
        <v>26</v>
      </c>
      <c r="D226" s="6" t="s">
        <v>114</v>
      </c>
      <c r="E226" s="7" t="s">
        <v>14</v>
      </c>
      <c r="F226" s="8">
        <v>6</v>
      </c>
      <c r="G226" s="8" t="s">
        <v>117</v>
      </c>
      <c r="H226" s="8">
        <f>VLOOKUP(E226,'[1]Master File'!$A:$F,5,0)*F226</f>
        <v>264</v>
      </c>
      <c r="I226" s="8">
        <f>VLOOKUP($E226,'[1]Master File'!$A:$F,6,0)*$F226</f>
        <v>293.04000000000002</v>
      </c>
    </row>
    <row r="227" spans="1:9" x14ac:dyDescent="0.3">
      <c r="A227" s="6">
        <v>44497</v>
      </c>
      <c r="B227" s="6" t="s">
        <v>135</v>
      </c>
      <c r="C227" s="16">
        <v>28</v>
      </c>
      <c r="D227" s="6" t="s">
        <v>114</v>
      </c>
      <c r="E227" s="7" t="s">
        <v>24</v>
      </c>
      <c r="F227" s="8">
        <v>1</v>
      </c>
      <c r="G227" s="8" t="s">
        <v>117</v>
      </c>
      <c r="H227" s="8">
        <f>VLOOKUP(E227,'[1]Master File'!$A:$F,5,0)*F227</f>
        <v>83</v>
      </c>
      <c r="I227" s="8">
        <f>VLOOKUP($E227,'[1]Master File'!$A:$F,6,0)*$F227</f>
        <v>94.62</v>
      </c>
    </row>
    <row r="228" spans="1:9" x14ac:dyDescent="0.3">
      <c r="A228" s="6">
        <v>44498</v>
      </c>
      <c r="B228" s="6" t="s">
        <v>135</v>
      </c>
      <c r="C228" s="16">
        <v>29</v>
      </c>
      <c r="D228" s="6" t="s">
        <v>114</v>
      </c>
      <c r="E228" s="7" t="s">
        <v>89</v>
      </c>
      <c r="F228" s="8">
        <v>14</v>
      </c>
      <c r="G228" s="8" t="s">
        <v>115</v>
      </c>
      <c r="H228" s="8">
        <f>VLOOKUP(E228,'[1]Master File'!$A:$F,5,0)*F228</f>
        <v>1008</v>
      </c>
      <c r="I228" s="8">
        <f>VLOOKUP($E228,'[1]Master File'!$A:$F,6,0)*$F228</f>
        <v>1118.8800000000001</v>
      </c>
    </row>
    <row r="229" spans="1:9" x14ac:dyDescent="0.3">
      <c r="A229" s="6">
        <v>44500</v>
      </c>
      <c r="B229" s="6" t="s">
        <v>135</v>
      </c>
      <c r="C229" s="16">
        <v>31</v>
      </c>
      <c r="D229" s="6" t="s">
        <v>114</v>
      </c>
      <c r="E229" s="7" t="s">
        <v>53</v>
      </c>
      <c r="F229" s="8">
        <v>6</v>
      </c>
      <c r="G229" s="8" t="s">
        <v>117</v>
      </c>
      <c r="H229" s="8">
        <f>VLOOKUP(E229,'[1]Master File'!$A:$F,5,0)*F229</f>
        <v>756</v>
      </c>
      <c r="I229" s="8">
        <f>VLOOKUP($E229,'[1]Master File'!$A:$F,6,0)*$F229</f>
        <v>975.24</v>
      </c>
    </row>
    <row r="230" spans="1:9" x14ac:dyDescent="0.3">
      <c r="A230" s="6">
        <v>44503</v>
      </c>
      <c r="B230" s="6" t="s">
        <v>136</v>
      </c>
      <c r="C230" s="16">
        <v>3</v>
      </c>
      <c r="D230" s="6" t="s">
        <v>114</v>
      </c>
      <c r="E230" s="7" t="s">
        <v>36</v>
      </c>
      <c r="F230" s="8">
        <v>12</v>
      </c>
      <c r="G230" s="8" t="s">
        <v>117</v>
      </c>
      <c r="H230" s="8">
        <f>VLOOKUP(E230,'[1]Master File'!$A:$F,5,0)*F230</f>
        <v>1344</v>
      </c>
      <c r="I230" s="8">
        <f>VLOOKUP($E230,'[1]Master File'!$A:$F,6,0)*$F230</f>
        <v>1464.96</v>
      </c>
    </row>
    <row r="231" spans="1:9" x14ac:dyDescent="0.3">
      <c r="A231" s="6">
        <v>44506</v>
      </c>
      <c r="B231" s="6" t="s">
        <v>136</v>
      </c>
      <c r="C231" s="16">
        <v>6</v>
      </c>
      <c r="D231" s="6" t="s">
        <v>114</v>
      </c>
      <c r="E231" s="7" t="s">
        <v>84</v>
      </c>
      <c r="F231" s="8">
        <v>10</v>
      </c>
      <c r="G231" s="8" t="s">
        <v>115</v>
      </c>
      <c r="H231" s="8">
        <f>VLOOKUP(E231,'[1]Master File'!$A:$F,5,0)*F231</f>
        <v>900</v>
      </c>
      <c r="I231" s="8">
        <f>VLOOKUP($E231,'[1]Master File'!$A:$F,6,0)*$F231</f>
        <v>963</v>
      </c>
    </row>
    <row r="232" spans="1:9" x14ac:dyDescent="0.3">
      <c r="A232" s="6">
        <v>44508</v>
      </c>
      <c r="B232" s="6" t="s">
        <v>136</v>
      </c>
      <c r="C232" s="16">
        <v>8</v>
      </c>
      <c r="D232" s="6" t="s">
        <v>114</v>
      </c>
      <c r="E232" s="7" t="s">
        <v>22</v>
      </c>
      <c r="F232" s="8">
        <v>15</v>
      </c>
      <c r="G232" s="8" t="s">
        <v>115</v>
      </c>
      <c r="H232" s="8">
        <f>VLOOKUP(E232,'[1]Master File'!$A:$F,5,0)*F232</f>
        <v>645</v>
      </c>
      <c r="I232" s="8">
        <f>VLOOKUP($E232,'[1]Master File'!$A:$F,6,0)*$F232</f>
        <v>715.95</v>
      </c>
    </row>
    <row r="233" spans="1:9" x14ac:dyDescent="0.3">
      <c r="A233" s="6">
        <v>44510</v>
      </c>
      <c r="B233" s="6" t="s">
        <v>136</v>
      </c>
      <c r="C233" s="16">
        <v>10</v>
      </c>
      <c r="D233" s="6" t="s">
        <v>114</v>
      </c>
      <c r="E233" s="7" t="s">
        <v>97</v>
      </c>
      <c r="F233" s="8">
        <v>6</v>
      </c>
      <c r="G233" s="8" t="s">
        <v>117</v>
      </c>
      <c r="H233" s="8">
        <f>VLOOKUP(E233,'[1]Master File'!$A:$F,5,0)*F233</f>
        <v>720</v>
      </c>
      <c r="I233" s="8">
        <f>VLOOKUP($E233,'[1]Master File'!$A:$F,6,0)*$F233</f>
        <v>972</v>
      </c>
    </row>
    <row r="234" spans="1:9" x14ac:dyDescent="0.3">
      <c r="A234" s="6">
        <v>44511</v>
      </c>
      <c r="B234" s="6" t="s">
        <v>136</v>
      </c>
      <c r="C234" s="16">
        <v>11</v>
      </c>
      <c r="D234" s="6" t="s">
        <v>114</v>
      </c>
      <c r="E234" s="7" t="s">
        <v>93</v>
      </c>
      <c r="F234" s="8">
        <v>12</v>
      </c>
      <c r="G234" s="8" t="s">
        <v>115</v>
      </c>
      <c r="H234" s="8">
        <f>VLOOKUP(E234,'[1]Master File'!$A:$F,5,0)*F234</f>
        <v>1080</v>
      </c>
      <c r="I234" s="8">
        <f>VLOOKUP($E234,'[1]Master File'!$A:$F,6,0)*$F234</f>
        <v>1382.4</v>
      </c>
    </row>
    <row r="235" spans="1:9" x14ac:dyDescent="0.3">
      <c r="A235" s="6">
        <v>44512</v>
      </c>
      <c r="B235" s="6" t="s">
        <v>136</v>
      </c>
      <c r="C235" s="16">
        <v>12</v>
      </c>
      <c r="D235" s="6" t="s">
        <v>114</v>
      </c>
      <c r="E235" s="7" t="s">
        <v>29</v>
      </c>
      <c r="F235" s="8">
        <v>3</v>
      </c>
      <c r="G235" s="8" t="s">
        <v>117</v>
      </c>
      <c r="H235" s="8">
        <f>VLOOKUP(E235,'[1]Master File'!$A:$F,5,0)*F235</f>
        <v>444</v>
      </c>
      <c r="I235" s="8">
        <f>VLOOKUP($E235,'[1]Master File'!$A:$F,6,0)*$F235</f>
        <v>492.84000000000003</v>
      </c>
    </row>
    <row r="236" spans="1:9" x14ac:dyDescent="0.3">
      <c r="A236" s="6">
        <v>44520</v>
      </c>
      <c r="B236" s="6" t="s">
        <v>136</v>
      </c>
      <c r="C236" s="16">
        <v>20</v>
      </c>
      <c r="D236" s="6" t="s">
        <v>114</v>
      </c>
      <c r="E236" s="7" t="s">
        <v>80</v>
      </c>
      <c r="F236" s="8">
        <v>14</v>
      </c>
      <c r="G236" s="8" t="s">
        <v>115</v>
      </c>
      <c r="H236" s="8">
        <f>VLOOKUP(E236,'[1]Master File'!$A:$F,5,0)*F236</f>
        <v>770</v>
      </c>
      <c r="I236" s="8">
        <f>VLOOKUP($E236,'[1]Master File'!$A:$F,6,0)*$F236</f>
        <v>816.19999999999993</v>
      </c>
    </row>
    <row r="237" spans="1:9" x14ac:dyDescent="0.3">
      <c r="A237" s="6">
        <v>44520</v>
      </c>
      <c r="B237" s="6" t="s">
        <v>136</v>
      </c>
      <c r="C237" s="16">
        <v>20</v>
      </c>
      <c r="D237" s="6" t="s">
        <v>114</v>
      </c>
      <c r="E237" s="7" t="s">
        <v>24</v>
      </c>
      <c r="F237" s="8">
        <v>11</v>
      </c>
      <c r="G237" s="8" t="s">
        <v>117</v>
      </c>
      <c r="H237" s="8">
        <f>VLOOKUP(E237,'[1]Master File'!$A:$F,5,0)*F237</f>
        <v>913</v>
      </c>
      <c r="I237" s="8">
        <f>VLOOKUP($E237,'[1]Master File'!$A:$F,6,0)*$F237</f>
        <v>1040.8200000000002</v>
      </c>
    </row>
    <row r="238" spans="1:9" x14ac:dyDescent="0.3">
      <c r="A238" s="6">
        <v>44521</v>
      </c>
      <c r="B238" s="6" t="s">
        <v>136</v>
      </c>
      <c r="C238" s="16">
        <v>21</v>
      </c>
      <c r="D238" s="6" t="s">
        <v>114</v>
      </c>
      <c r="E238" s="7" t="s">
        <v>38</v>
      </c>
      <c r="F238" s="8">
        <v>1</v>
      </c>
      <c r="G238" s="8" t="s">
        <v>115</v>
      </c>
      <c r="H238" s="8">
        <f>VLOOKUP(E238,'[1]Master File'!$A:$F,5,0)*F238</f>
        <v>112</v>
      </c>
      <c r="I238" s="8">
        <f>VLOOKUP($E238,'[1]Master File'!$A:$F,6,0)*$F238</f>
        <v>146.72</v>
      </c>
    </row>
    <row r="239" spans="1:9" x14ac:dyDescent="0.3">
      <c r="A239" s="6">
        <v>44521</v>
      </c>
      <c r="B239" s="6" t="s">
        <v>136</v>
      </c>
      <c r="C239" s="16">
        <v>21</v>
      </c>
      <c r="D239" s="6" t="s">
        <v>114</v>
      </c>
      <c r="E239" s="7" t="s">
        <v>20</v>
      </c>
      <c r="F239" s="8">
        <v>1</v>
      </c>
      <c r="G239" s="8" t="s">
        <v>117</v>
      </c>
      <c r="H239" s="8">
        <f>VLOOKUP(E239,'[1]Master File'!$A:$F,5,0)*F239</f>
        <v>75</v>
      </c>
      <c r="I239" s="8">
        <f>VLOOKUP($E239,'[1]Master File'!$A:$F,6,0)*$F239</f>
        <v>85.5</v>
      </c>
    </row>
    <row r="240" spans="1:9" x14ac:dyDescent="0.3">
      <c r="A240" s="6">
        <v>44527</v>
      </c>
      <c r="B240" s="6" t="s">
        <v>136</v>
      </c>
      <c r="C240" s="16">
        <v>27</v>
      </c>
      <c r="D240" s="6" t="s">
        <v>114</v>
      </c>
      <c r="E240" s="7" t="s">
        <v>34</v>
      </c>
      <c r="F240" s="8">
        <v>8</v>
      </c>
      <c r="G240" s="8" t="s">
        <v>115</v>
      </c>
      <c r="H240" s="8">
        <f>VLOOKUP(E240,'[1]Master File'!$A:$F,5,0)*F240</f>
        <v>584</v>
      </c>
      <c r="I240" s="8">
        <f>VLOOKUP($E240,'[1]Master File'!$A:$F,6,0)*$F240</f>
        <v>753.36</v>
      </c>
    </row>
    <row r="241" spans="1:9" x14ac:dyDescent="0.3">
      <c r="A241" s="6">
        <v>44528</v>
      </c>
      <c r="B241" s="6" t="s">
        <v>136</v>
      </c>
      <c r="C241" s="16">
        <v>28</v>
      </c>
      <c r="D241" s="6" t="s">
        <v>114</v>
      </c>
      <c r="E241" s="7" t="s">
        <v>93</v>
      </c>
      <c r="F241" s="8">
        <v>2</v>
      </c>
      <c r="G241" s="8" t="s">
        <v>117</v>
      </c>
      <c r="H241" s="8">
        <f>VLOOKUP(E241,'[1]Master File'!$A:$F,5,0)*F241</f>
        <v>180</v>
      </c>
      <c r="I241" s="8">
        <f>VLOOKUP($E241,'[1]Master File'!$A:$F,6,0)*$F241</f>
        <v>230.4</v>
      </c>
    </row>
    <row r="242" spans="1:9" x14ac:dyDescent="0.3">
      <c r="A242" s="6">
        <v>44530</v>
      </c>
      <c r="B242" s="6" t="s">
        <v>136</v>
      </c>
      <c r="C242" s="16">
        <v>30</v>
      </c>
      <c r="D242" s="6" t="s">
        <v>114</v>
      </c>
      <c r="E242" s="7" t="s">
        <v>91</v>
      </c>
      <c r="F242" s="8">
        <v>15</v>
      </c>
      <c r="G242" s="8" t="s">
        <v>115</v>
      </c>
      <c r="H242" s="8">
        <f>VLOOKUP(E242,'[1]Master File'!$A:$F,5,0)*F242</f>
        <v>555</v>
      </c>
      <c r="I242" s="8">
        <f>VLOOKUP($E242,'[1]Master File'!$A:$F,6,0)*$F242</f>
        <v>638.25</v>
      </c>
    </row>
    <row r="243" spans="1:9" x14ac:dyDescent="0.3">
      <c r="A243" s="6">
        <v>44532</v>
      </c>
      <c r="B243" s="6" t="s">
        <v>137</v>
      </c>
      <c r="C243" s="16">
        <v>2</v>
      </c>
      <c r="D243" s="6" t="s">
        <v>114</v>
      </c>
      <c r="E243" s="7" t="s">
        <v>42</v>
      </c>
      <c r="F243" s="8">
        <v>10</v>
      </c>
      <c r="G243" s="8" t="s">
        <v>117</v>
      </c>
      <c r="H243" s="8">
        <f>VLOOKUP(E243,'[1]Master File'!$A:$F,5,0)*F243</f>
        <v>130</v>
      </c>
      <c r="I243" s="8">
        <f>VLOOKUP($E243,'[1]Master File'!$A:$F,6,0)*$F243</f>
        <v>166.4</v>
      </c>
    </row>
    <row r="244" spans="1:9" x14ac:dyDescent="0.3">
      <c r="A244" s="6">
        <v>44533</v>
      </c>
      <c r="B244" s="6" t="s">
        <v>137</v>
      </c>
      <c r="C244" s="16">
        <v>3</v>
      </c>
      <c r="D244" s="6" t="s">
        <v>114</v>
      </c>
      <c r="E244" s="7" t="s">
        <v>80</v>
      </c>
      <c r="F244" s="8">
        <v>2</v>
      </c>
      <c r="G244" s="8" t="s">
        <v>117</v>
      </c>
      <c r="H244" s="8">
        <f>VLOOKUP(E244,'[1]Master File'!$A:$F,5,0)*F244</f>
        <v>110</v>
      </c>
      <c r="I244" s="8">
        <f>VLOOKUP($E244,'[1]Master File'!$A:$F,6,0)*$F244</f>
        <v>116.6</v>
      </c>
    </row>
    <row r="245" spans="1:9" x14ac:dyDescent="0.3">
      <c r="A245" s="6">
        <v>44533</v>
      </c>
      <c r="B245" s="6" t="s">
        <v>137</v>
      </c>
      <c r="C245" s="16">
        <v>3</v>
      </c>
      <c r="D245" s="6" t="s">
        <v>114</v>
      </c>
      <c r="E245" s="7" t="s">
        <v>48</v>
      </c>
      <c r="F245" s="8">
        <v>8</v>
      </c>
      <c r="G245" s="8" t="s">
        <v>115</v>
      </c>
      <c r="H245" s="8">
        <f>VLOOKUP(E245,'[1]Master File'!$A:$F,5,0)*F245</f>
        <v>1200</v>
      </c>
      <c r="I245" s="8">
        <f>VLOOKUP($E245,'[1]Master File'!$A:$F,6,0)*$F245</f>
        <v>1680</v>
      </c>
    </row>
    <row r="246" spans="1:9" x14ac:dyDescent="0.3">
      <c r="A246" s="6">
        <v>44535</v>
      </c>
      <c r="B246" s="6" t="s">
        <v>137</v>
      </c>
      <c r="C246" s="16">
        <v>5</v>
      </c>
      <c r="D246" s="6" t="s">
        <v>114</v>
      </c>
      <c r="E246" s="7" t="s">
        <v>14</v>
      </c>
      <c r="F246" s="8">
        <v>15</v>
      </c>
      <c r="G246" s="8" t="s">
        <v>117</v>
      </c>
      <c r="H246" s="8">
        <f>VLOOKUP(E246,'[1]Master File'!$A:$F,5,0)*F246</f>
        <v>660</v>
      </c>
      <c r="I246" s="8">
        <f>VLOOKUP($E246,'[1]Master File'!$A:$F,6,0)*$F246</f>
        <v>732.6</v>
      </c>
    </row>
    <row r="247" spans="1:9" x14ac:dyDescent="0.3">
      <c r="A247" s="6">
        <v>44535</v>
      </c>
      <c r="B247" s="6" t="s">
        <v>137</v>
      </c>
      <c r="C247" s="16">
        <v>5</v>
      </c>
      <c r="D247" s="6" t="s">
        <v>114</v>
      </c>
      <c r="E247" s="7" t="s">
        <v>29</v>
      </c>
      <c r="F247" s="8">
        <v>1</v>
      </c>
      <c r="G247" s="8" t="s">
        <v>115</v>
      </c>
      <c r="H247" s="8">
        <f>VLOOKUP(E247,'[1]Master File'!$A:$F,5,0)*F247</f>
        <v>148</v>
      </c>
      <c r="I247" s="8">
        <f>VLOOKUP($E247,'[1]Master File'!$A:$F,6,0)*$F247</f>
        <v>164.28</v>
      </c>
    </row>
    <row r="248" spans="1:9" x14ac:dyDescent="0.3">
      <c r="A248" s="6">
        <v>44537</v>
      </c>
      <c r="B248" s="6" t="s">
        <v>137</v>
      </c>
      <c r="C248" s="16">
        <v>7</v>
      </c>
      <c r="D248" s="6" t="s">
        <v>114</v>
      </c>
      <c r="E248" s="7" t="s">
        <v>36</v>
      </c>
      <c r="F248" s="8">
        <v>8</v>
      </c>
      <c r="G248" s="8" t="s">
        <v>115</v>
      </c>
      <c r="H248" s="8">
        <f>VLOOKUP(E248,'[1]Master File'!$A:$F,5,0)*F248</f>
        <v>896</v>
      </c>
      <c r="I248" s="8">
        <f>VLOOKUP($E248,'[1]Master File'!$A:$F,6,0)*$F248</f>
        <v>976.64</v>
      </c>
    </row>
    <row r="249" spans="1:9" x14ac:dyDescent="0.3">
      <c r="A249" s="6">
        <v>44538</v>
      </c>
      <c r="B249" s="6" t="s">
        <v>137</v>
      </c>
      <c r="C249" s="16">
        <v>8</v>
      </c>
      <c r="D249" s="6" t="s">
        <v>114</v>
      </c>
      <c r="E249" s="7" t="s">
        <v>101</v>
      </c>
      <c r="F249" s="8">
        <v>14</v>
      </c>
      <c r="G249" s="8" t="s">
        <v>115</v>
      </c>
      <c r="H249" s="8">
        <f>VLOOKUP(E249,'[1]Master File'!$A:$F,5,0)*F249</f>
        <v>1064</v>
      </c>
      <c r="I249" s="8">
        <f>VLOOKUP($E249,'[1]Master File'!$A:$F,6,0)*$F249</f>
        <v>1149.1199999999999</v>
      </c>
    </row>
    <row r="250" spans="1:9" x14ac:dyDescent="0.3">
      <c r="A250" s="6">
        <v>44544</v>
      </c>
      <c r="B250" s="6" t="s">
        <v>137</v>
      </c>
      <c r="C250" s="16">
        <v>14</v>
      </c>
      <c r="D250" s="6" t="s">
        <v>114</v>
      </c>
      <c r="E250" s="7" t="s">
        <v>97</v>
      </c>
      <c r="F250" s="8">
        <v>4</v>
      </c>
      <c r="G250" s="8" t="s">
        <v>115</v>
      </c>
      <c r="H250" s="8">
        <f>VLOOKUP(E250,'[1]Master File'!$A:$F,5,0)*F250</f>
        <v>480</v>
      </c>
      <c r="I250" s="8">
        <f>VLOOKUP($E250,'[1]Master File'!$A:$F,6,0)*$F250</f>
        <v>648</v>
      </c>
    </row>
    <row r="251" spans="1:9" x14ac:dyDescent="0.3">
      <c r="A251" s="6">
        <v>44548</v>
      </c>
      <c r="B251" s="6" t="s">
        <v>137</v>
      </c>
      <c r="C251" s="16">
        <v>18</v>
      </c>
      <c r="D251" s="6" t="s">
        <v>114</v>
      </c>
      <c r="E251" s="7" t="s">
        <v>12</v>
      </c>
      <c r="F251" s="8">
        <v>2</v>
      </c>
      <c r="G251" s="8" t="s">
        <v>117</v>
      </c>
      <c r="H251" s="8">
        <f>VLOOKUP(E251,'[1]Master File'!$A:$F,5,0)*F251</f>
        <v>142</v>
      </c>
      <c r="I251" s="8">
        <f>VLOOKUP($E251,'[1]Master File'!$A:$F,6,0)*$F251</f>
        <v>161.88</v>
      </c>
    </row>
    <row r="252" spans="1:9" x14ac:dyDescent="0.3">
      <c r="A252" s="6">
        <v>44548</v>
      </c>
      <c r="B252" s="6" t="s">
        <v>137</v>
      </c>
      <c r="C252" s="16">
        <v>18</v>
      </c>
      <c r="D252" s="6" t="s">
        <v>114</v>
      </c>
      <c r="E252" s="7" t="s">
        <v>55</v>
      </c>
      <c r="F252" s="8">
        <v>8</v>
      </c>
      <c r="G252" s="8" t="s">
        <v>117</v>
      </c>
      <c r="H252" s="8">
        <f>VLOOKUP(E252,'[1]Master File'!$A:$F,5,0)*F252</f>
        <v>968</v>
      </c>
      <c r="I252" s="8">
        <f>VLOOKUP($E252,'[1]Master File'!$A:$F,6,0)*$F252</f>
        <v>1132.56</v>
      </c>
    </row>
    <row r="253" spans="1:9" x14ac:dyDescent="0.3">
      <c r="A253" s="6">
        <v>44549</v>
      </c>
      <c r="B253" s="6" t="s">
        <v>137</v>
      </c>
      <c r="C253" s="16">
        <v>19</v>
      </c>
      <c r="D253" s="6" t="s">
        <v>114</v>
      </c>
      <c r="E253" s="7" t="s">
        <v>57</v>
      </c>
      <c r="F253" s="8">
        <v>12</v>
      </c>
      <c r="G253" s="8" t="s">
        <v>115</v>
      </c>
      <c r="H253" s="8">
        <f>VLOOKUP(E253,'[1]Master File'!$A:$F,5,0)*F253</f>
        <v>1692</v>
      </c>
      <c r="I253" s="8">
        <f>VLOOKUP($E253,'[1]Master File'!$A:$F,6,0)*$F253</f>
        <v>1793.52</v>
      </c>
    </row>
    <row r="254" spans="1:9" x14ac:dyDescent="0.3">
      <c r="A254" s="6">
        <v>44549</v>
      </c>
      <c r="B254" s="6" t="s">
        <v>137</v>
      </c>
      <c r="C254" s="16">
        <v>19</v>
      </c>
      <c r="D254" s="6" t="s">
        <v>114</v>
      </c>
      <c r="E254" s="7" t="s">
        <v>70</v>
      </c>
      <c r="F254" s="8">
        <v>3</v>
      </c>
      <c r="G254" s="8" t="s">
        <v>115</v>
      </c>
      <c r="H254" s="8">
        <f>VLOOKUP(E254,'[1]Master File'!$A:$F,5,0)*F254</f>
        <v>141</v>
      </c>
      <c r="I254" s="8">
        <f>VLOOKUP($E254,'[1]Master File'!$A:$F,6,0)*$F254</f>
        <v>159.32999999999998</v>
      </c>
    </row>
    <row r="255" spans="1:9" x14ac:dyDescent="0.3">
      <c r="A255" s="6">
        <v>44549</v>
      </c>
      <c r="B255" s="6" t="s">
        <v>137</v>
      </c>
      <c r="C255" s="16">
        <v>19</v>
      </c>
      <c r="D255" s="6" t="s">
        <v>114</v>
      </c>
      <c r="E255" s="7" t="s">
        <v>32</v>
      </c>
      <c r="F255" s="8">
        <v>10</v>
      </c>
      <c r="G255" s="8" t="s">
        <v>115</v>
      </c>
      <c r="H255" s="8">
        <f>VLOOKUP(E255,'[1]Master File'!$A:$F,5,0)*F255</f>
        <v>440</v>
      </c>
      <c r="I255" s="8">
        <f>VLOOKUP($E255,'[1]Master File'!$A:$F,6,0)*$F255</f>
        <v>484</v>
      </c>
    </row>
    <row r="256" spans="1:9" x14ac:dyDescent="0.3">
      <c r="A256" s="6">
        <v>44550</v>
      </c>
      <c r="B256" s="6" t="s">
        <v>137</v>
      </c>
      <c r="C256" s="16">
        <v>20</v>
      </c>
      <c r="D256" s="6" t="s">
        <v>114</v>
      </c>
      <c r="E256" s="7" t="s">
        <v>34</v>
      </c>
      <c r="F256" s="8">
        <v>14</v>
      </c>
      <c r="G256" s="8" t="s">
        <v>115</v>
      </c>
      <c r="H256" s="8">
        <f>VLOOKUP(E256,'[1]Master File'!$A:$F,5,0)*F256</f>
        <v>1022</v>
      </c>
      <c r="I256" s="8">
        <f>VLOOKUP($E256,'[1]Master File'!$A:$F,6,0)*$F256</f>
        <v>1318.38</v>
      </c>
    </row>
    <row r="257" spans="1:9" x14ac:dyDescent="0.3">
      <c r="A257" s="6">
        <v>44551</v>
      </c>
      <c r="B257" s="6" t="s">
        <v>137</v>
      </c>
      <c r="C257" s="16">
        <v>21</v>
      </c>
      <c r="D257" s="6" t="s">
        <v>114</v>
      </c>
      <c r="E257" s="7" t="s">
        <v>63</v>
      </c>
      <c r="F257" s="8">
        <v>10</v>
      </c>
      <c r="G257" s="8" t="s">
        <v>117</v>
      </c>
      <c r="H257" s="8">
        <f>VLOOKUP(E257,'[1]Master File'!$A:$F,5,0)*F257</f>
        <v>180</v>
      </c>
      <c r="I257" s="8">
        <f>VLOOKUP($E257,'[1]Master File'!$A:$F,6,0)*$F257</f>
        <v>246.6</v>
      </c>
    </row>
    <row r="258" spans="1:9" x14ac:dyDescent="0.3">
      <c r="A258" s="6">
        <v>44554</v>
      </c>
      <c r="B258" s="6" t="s">
        <v>137</v>
      </c>
      <c r="C258" s="16">
        <v>24</v>
      </c>
      <c r="D258" s="6" t="s">
        <v>114</v>
      </c>
      <c r="E258" s="7" t="s">
        <v>97</v>
      </c>
      <c r="F258" s="8">
        <v>8</v>
      </c>
      <c r="G258" s="8" t="s">
        <v>117</v>
      </c>
      <c r="H258" s="8">
        <f>VLOOKUP(E258,'[1]Master File'!$A:$F,5,0)*F258</f>
        <v>960</v>
      </c>
      <c r="I258" s="8">
        <f>VLOOKUP($E258,'[1]Master File'!$A:$F,6,0)*$F258</f>
        <v>1296</v>
      </c>
    </row>
    <row r="259" spans="1:9" x14ac:dyDescent="0.3">
      <c r="A259" s="6">
        <v>44554</v>
      </c>
      <c r="B259" s="6" t="s">
        <v>137</v>
      </c>
      <c r="C259" s="16">
        <v>24</v>
      </c>
      <c r="D259" s="6" t="s">
        <v>114</v>
      </c>
      <c r="E259" s="7" t="s">
        <v>84</v>
      </c>
      <c r="F259" s="8">
        <v>8</v>
      </c>
      <c r="G259" s="8" t="s">
        <v>115</v>
      </c>
      <c r="H259" s="8">
        <f>VLOOKUP(E259,'[1]Master File'!$A:$F,5,0)*F259</f>
        <v>720</v>
      </c>
      <c r="I259" s="8">
        <f>VLOOKUP($E259,'[1]Master File'!$A:$F,6,0)*$F259</f>
        <v>770.4</v>
      </c>
    </row>
    <row r="260" spans="1:9" x14ac:dyDescent="0.3">
      <c r="A260" s="6">
        <v>44556</v>
      </c>
      <c r="B260" s="6" t="s">
        <v>137</v>
      </c>
      <c r="C260" s="16">
        <v>26</v>
      </c>
      <c r="D260" s="6" t="s">
        <v>114</v>
      </c>
      <c r="E260" s="7" t="s">
        <v>95</v>
      </c>
      <c r="F260" s="8">
        <v>14</v>
      </c>
      <c r="G260" s="8" t="s">
        <v>117</v>
      </c>
      <c r="H260" s="8">
        <f>VLOOKUP(E260,'[1]Master File'!$A:$F,5,0)*F260</f>
        <v>1932</v>
      </c>
      <c r="I260" s="8">
        <f>VLOOKUP($E260,'[1]Master File'!$A:$F,6,0)*$F260</f>
        <v>2434.3199999999997</v>
      </c>
    </row>
    <row r="261" spans="1:9" x14ac:dyDescent="0.3">
      <c r="A261" s="6">
        <v>44557</v>
      </c>
      <c r="B261" s="6" t="s">
        <v>137</v>
      </c>
      <c r="C261" s="16">
        <v>27</v>
      </c>
      <c r="D261" s="6" t="s">
        <v>114</v>
      </c>
      <c r="E261" s="7" t="s">
        <v>70</v>
      </c>
      <c r="F261" s="8">
        <v>14</v>
      </c>
      <c r="G261" s="8" t="s">
        <v>117</v>
      </c>
      <c r="H261" s="8">
        <f>VLOOKUP(E261,'[1]Master File'!$A:$F,5,0)*F261</f>
        <v>658</v>
      </c>
      <c r="I261" s="8">
        <f>VLOOKUP($E261,'[1]Master File'!$A:$F,6,0)*$F261</f>
        <v>743.54</v>
      </c>
    </row>
    <row r="262" spans="1:9" x14ac:dyDescent="0.3">
      <c r="A262" s="6">
        <v>44558</v>
      </c>
      <c r="B262" s="6" t="s">
        <v>137</v>
      </c>
      <c r="C262" s="16">
        <v>28</v>
      </c>
      <c r="D262" s="6" t="s">
        <v>114</v>
      </c>
      <c r="E262" s="7" t="s">
        <v>70</v>
      </c>
      <c r="F262" s="8">
        <v>6</v>
      </c>
      <c r="G262" s="8" t="s">
        <v>117</v>
      </c>
      <c r="H262" s="8">
        <f>VLOOKUP(E262,'[1]Master File'!$A:$F,5,0)*F262</f>
        <v>282</v>
      </c>
      <c r="I262" s="8">
        <f>VLOOKUP($E262,'[1]Master File'!$A:$F,6,0)*$F262</f>
        <v>318.65999999999997</v>
      </c>
    </row>
    <row r="263" spans="1:9" x14ac:dyDescent="0.3">
      <c r="A263" s="6">
        <v>44560</v>
      </c>
      <c r="B263" s="6" t="s">
        <v>137</v>
      </c>
      <c r="C263" s="16">
        <v>30</v>
      </c>
      <c r="D263" s="6" t="s">
        <v>114</v>
      </c>
      <c r="E263" s="7" t="s">
        <v>29</v>
      </c>
      <c r="F263" s="8">
        <v>13</v>
      </c>
      <c r="G263" s="8" t="s">
        <v>115</v>
      </c>
      <c r="H263" s="8">
        <f>VLOOKUP(E263,'[1]Master File'!$A:$F,5,0)*F263</f>
        <v>1924</v>
      </c>
      <c r="I263" s="8">
        <f>VLOOKUP($E263,'[1]Master File'!$A:$F,6,0)*$F263</f>
        <v>2135.64</v>
      </c>
    </row>
    <row r="264" spans="1:9" x14ac:dyDescent="0.3">
      <c r="A264" s="6">
        <v>44562</v>
      </c>
      <c r="B264" s="6" t="s">
        <v>113</v>
      </c>
      <c r="C264" s="16">
        <v>1</v>
      </c>
      <c r="D264" s="6" t="s">
        <v>138</v>
      </c>
      <c r="E264" s="7" t="s">
        <v>55</v>
      </c>
      <c r="F264" s="8">
        <v>1</v>
      </c>
      <c r="G264" s="8" t="s">
        <v>117</v>
      </c>
      <c r="H264" s="8">
        <f>VLOOKUP(E264,'[1]Master File'!$A:$F,5,0)*F264</f>
        <v>121</v>
      </c>
      <c r="I264" s="8">
        <f>VLOOKUP($E264,'[1]Master File'!$A:$F,6,0)*$F264</f>
        <v>141.57</v>
      </c>
    </row>
    <row r="265" spans="1:9" x14ac:dyDescent="0.3">
      <c r="A265" s="6">
        <v>44563</v>
      </c>
      <c r="B265" s="6" t="s">
        <v>113</v>
      </c>
      <c r="C265" s="16">
        <v>2</v>
      </c>
      <c r="D265" s="6" t="s">
        <v>138</v>
      </c>
      <c r="E265" s="7" t="s">
        <v>29</v>
      </c>
      <c r="F265" s="8">
        <v>7</v>
      </c>
      <c r="G265" s="8" t="s">
        <v>117</v>
      </c>
      <c r="H265" s="8">
        <f>VLOOKUP(E265,'[1]Master File'!$A:$F,5,0)*F265</f>
        <v>1036</v>
      </c>
      <c r="I265" s="8">
        <f>VLOOKUP($E265,'[1]Master File'!$A:$F,6,0)*$F265</f>
        <v>1149.96</v>
      </c>
    </row>
    <row r="266" spans="1:9" x14ac:dyDescent="0.3">
      <c r="A266" s="6">
        <v>44563</v>
      </c>
      <c r="B266" s="6" t="s">
        <v>113</v>
      </c>
      <c r="C266" s="16">
        <v>2</v>
      </c>
      <c r="D266" s="6" t="s">
        <v>138</v>
      </c>
      <c r="E266" s="7" t="s">
        <v>40</v>
      </c>
      <c r="F266" s="8">
        <v>2</v>
      </c>
      <c r="G266" s="8" t="s">
        <v>117</v>
      </c>
      <c r="H266" s="8">
        <f>VLOOKUP(E266,'[1]Master File'!$A:$F,5,0)*F266</f>
        <v>24</v>
      </c>
      <c r="I266" s="8">
        <f>VLOOKUP($E266,'[1]Master File'!$A:$F,6,0)*$F266</f>
        <v>31.439999999999998</v>
      </c>
    </row>
    <row r="267" spans="1:9" x14ac:dyDescent="0.3">
      <c r="A267" s="6">
        <v>44563</v>
      </c>
      <c r="B267" s="6" t="s">
        <v>113</v>
      </c>
      <c r="C267" s="16">
        <v>2</v>
      </c>
      <c r="D267" s="6" t="s">
        <v>138</v>
      </c>
      <c r="E267" s="7" t="s">
        <v>78</v>
      </c>
      <c r="F267" s="8">
        <v>1</v>
      </c>
      <c r="G267" s="8" t="s">
        <v>117</v>
      </c>
      <c r="H267" s="8">
        <f>VLOOKUP(E267,'[1]Master File'!$A:$F,5,0)*F267</f>
        <v>95</v>
      </c>
      <c r="I267" s="8">
        <f>VLOOKUP($E267,'[1]Master File'!$A:$F,6,0)*$F267</f>
        <v>119.7</v>
      </c>
    </row>
    <row r="268" spans="1:9" x14ac:dyDescent="0.3">
      <c r="A268" s="6">
        <v>44564</v>
      </c>
      <c r="B268" s="6" t="s">
        <v>113</v>
      </c>
      <c r="C268" s="16">
        <v>3</v>
      </c>
      <c r="D268" s="6" t="s">
        <v>138</v>
      </c>
      <c r="E268" s="7" t="s">
        <v>99</v>
      </c>
      <c r="F268" s="8">
        <v>9</v>
      </c>
      <c r="G268" s="8" t="s">
        <v>117</v>
      </c>
      <c r="H268" s="8">
        <f>VLOOKUP(E268,'[1]Master File'!$A:$F,5,0)*F268</f>
        <v>603</v>
      </c>
      <c r="I268" s="8">
        <f>VLOOKUP($E268,'[1]Master File'!$A:$F,6,0)*$F268</f>
        <v>747.72</v>
      </c>
    </row>
    <row r="269" spans="1:9" x14ac:dyDescent="0.3">
      <c r="A269" s="6">
        <v>44565</v>
      </c>
      <c r="B269" s="6" t="s">
        <v>113</v>
      </c>
      <c r="C269" s="16">
        <v>4</v>
      </c>
      <c r="D269" s="6" t="s">
        <v>138</v>
      </c>
      <c r="E269" s="7" t="s">
        <v>34</v>
      </c>
      <c r="F269" s="8">
        <v>8</v>
      </c>
      <c r="G269" s="8" t="s">
        <v>115</v>
      </c>
      <c r="H269" s="8">
        <f>VLOOKUP(E269,'[1]Master File'!$A:$F,5,0)*F269</f>
        <v>584</v>
      </c>
      <c r="I269" s="8">
        <f>VLOOKUP($E269,'[1]Master File'!$A:$F,6,0)*$F269</f>
        <v>753.36</v>
      </c>
    </row>
    <row r="270" spans="1:9" x14ac:dyDescent="0.3">
      <c r="A270" s="6">
        <v>44565</v>
      </c>
      <c r="B270" s="6" t="s">
        <v>113</v>
      </c>
      <c r="C270" s="16">
        <v>4</v>
      </c>
      <c r="D270" s="6" t="s">
        <v>138</v>
      </c>
      <c r="E270" s="7" t="s">
        <v>70</v>
      </c>
      <c r="F270" s="8">
        <v>1</v>
      </c>
      <c r="G270" s="8" t="s">
        <v>115</v>
      </c>
      <c r="H270" s="8">
        <f>VLOOKUP(E270,'[1]Master File'!$A:$F,5,0)*F270</f>
        <v>47</v>
      </c>
      <c r="I270" s="8">
        <f>VLOOKUP($E270,'[1]Master File'!$A:$F,6,0)*$F270</f>
        <v>53.11</v>
      </c>
    </row>
    <row r="271" spans="1:9" x14ac:dyDescent="0.3">
      <c r="A271" s="6">
        <v>44570</v>
      </c>
      <c r="B271" s="6" t="s">
        <v>113</v>
      </c>
      <c r="C271" s="16">
        <v>9</v>
      </c>
      <c r="D271" s="6" t="s">
        <v>138</v>
      </c>
      <c r="E271" s="7" t="s">
        <v>76</v>
      </c>
      <c r="F271" s="8">
        <v>12</v>
      </c>
      <c r="G271" s="8" t="s">
        <v>115</v>
      </c>
      <c r="H271" s="8">
        <f>VLOOKUP(E271,'[1]Master File'!$A:$F,5,0)*F271</f>
        <v>1068</v>
      </c>
      <c r="I271" s="8">
        <f>VLOOKUP($E271,'[1]Master File'!$A:$F,6,0)*$F271</f>
        <v>1409.76</v>
      </c>
    </row>
    <row r="272" spans="1:9" x14ac:dyDescent="0.3">
      <c r="A272" s="6">
        <v>44571</v>
      </c>
      <c r="B272" s="6" t="s">
        <v>113</v>
      </c>
      <c r="C272" s="16">
        <v>10</v>
      </c>
      <c r="D272" s="6" t="s">
        <v>138</v>
      </c>
      <c r="E272" s="7" t="s">
        <v>80</v>
      </c>
      <c r="F272" s="8">
        <v>14</v>
      </c>
      <c r="G272" s="8" t="s">
        <v>115</v>
      </c>
      <c r="H272" s="8">
        <f>VLOOKUP(E272,'[1]Master File'!$A:$F,5,0)*F272</f>
        <v>770</v>
      </c>
      <c r="I272" s="8">
        <f>VLOOKUP($E272,'[1]Master File'!$A:$F,6,0)*$F272</f>
        <v>816.19999999999993</v>
      </c>
    </row>
    <row r="273" spans="1:9" x14ac:dyDescent="0.3">
      <c r="A273" s="6">
        <v>44572</v>
      </c>
      <c r="B273" s="6" t="s">
        <v>113</v>
      </c>
      <c r="C273" s="16">
        <v>11</v>
      </c>
      <c r="D273" s="6" t="s">
        <v>138</v>
      </c>
      <c r="E273" s="7" t="s">
        <v>76</v>
      </c>
      <c r="F273" s="8">
        <v>2</v>
      </c>
      <c r="G273" s="8" t="s">
        <v>115</v>
      </c>
      <c r="H273" s="8">
        <f>VLOOKUP(E273,'[1]Master File'!$A:$F,5,0)*F273</f>
        <v>178</v>
      </c>
      <c r="I273" s="8">
        <f>VLOOKUP($E273,'[1]Master File'!$A:$F,6,0)*$F273</f>
        <v>234.96</v>
      </c>
    </row>
    <row r="274" spans="1:9" x14ac:dyDescent="0.3">
      <c r="A274" s="6">
        <v>44574</v>
      </c>
      <c r="B274" s="6" t="s">
        <v>113</v>
      </c>
      <c r="C274" s="16">
        <v>13</v>
      </c>
      <c r="D274" s="6" t="s">
        <v>138</v>
      </c>
      <c r="E274" s="7" t="s">
        <v>48</v>
      </c>
      <c r="F274" s="8">
        <v>6</v>
      </c>
      <c r="G274" s="8" t="s">
        <v>115</v>
      </c>
      <c r="H274" s="8">
        <f>VLOOKUP(E274,'[1]Master File'!$A:$F,5,0)*F274</f>
        <v>900</v>
      </c>
      <c r="I274" s="8">
        <f>VLOOKUP($E274,'[1]Master File'!$A:$F,6,0)*$F274</f>
        <v>1260</v>
      </c>
    </row>
    <row r="275" spans="1:9" x14ac:dyDescent="0.3">
      <c r="A275" s="6">
        <v>44575</v>
      </c>
      <c r="B275" s="6" t="s">
        <v>113</v>
      </c>
      <c r="C275" s="16">
        <v>14</v>
      </c>
      <c r="D275" s="6" t="s">
        <v>138</v>
      </c>
      <c r="E275" s="7" t="s">
        <v>32</v>
      </c>
      <c r="F275" s="8">
        <v>14</v>
      </c>
      <c r="G275" s="8" t="s">
        <v>115</v>
      </c>
      <c r="H275" s="8">
        <f>VLOOKUP(E275,'[1]Master File'!$A:$F,5,0)*F275</f>
        <v>616</v>
      </c>
      <c r="I275" s="8">
        <f>VLOOKUP($E275,'[1]Master File'!$A:$F,6,0)*$F275</f>
        <v>677.6</v>
      </c>
    </row>
    <row r="276" spans="1:9" x14ac:dyDescent="0.3">
      <c r="A276" s="6">
        <v>44576</v>
      </c>
      <c r="B276" s="6" t="s">
        <v>113</v>
      </c>
      <c r="C276" s="16">
        <v>15</v>
      </c>
      <c r="D276" s="6" t="s">
        <v>138</v>
      </c>
      <c r="E276" s="7" t="s">
        <v>55</v>
      </c>
      <c r="F276" s="8">
        <v>10</v>
      </c>
      <c r="G276" s="8" t="s">
        <v>117</v>
      </c>
      <c r="H276" s="8">
        <f>VLOOKUP(E276,'[1]Master File'!$A:$F,5,0)*F276</f>
        <v>1210</v>
      </c>
      <c r="I276" s="8">
        <f>VLOOKUP($E276,'[1]Master File'!$A:$F,6,0)*$F276</f>
        <v>1415.6999999999998</v>
      </c>
    </row>
    <row r="277" spans="1:9" x14ac:dyDescent="0.3">
      <c r="A277" s="6">
        <v>44577</v>
      </c>
      <c r="B277" s="6" t="s">
        <v>113</v>
      </c>
      <c r="C277" s="16">
        <v>16</v>
      </c>
      <c r="D277" s="6" t="s">
        <v>138</v>
      </c>
      <c r="E277" s="7" t="s">
        <v>38</v>
      </c>
      <c r="F277" s="8">
        <v>11</v>
      </c>
      <c r="G277" s="8" t="s">
        <v>117</v>
      </c>
      <c r="H277" s="8">
        <f>VLOOKUP(E277,'[1]Master File'!$A:$F,5,0)*F277</f>
        <v>1232</v>
      </c>
      <c r="I277" s="8">
        <f>VLOOKUP($E277,'[1]Master File'!$A:$F,6,0)*$F277</f>
        <v>1613.92</v>
      </c>
    </row>
    <row r="278" spans="1:9" x14ac:dyDescent="0.3">
      <c r="A278" s="6">
        <v>44578</v>
      </c>
      <c r="B278" s="6" t="s">
        <v>113</v>
      </c>
      <c r="C278" s="16">
        <v>17</v>
      </c>
      <c r="D278" s="6" t="s">
        <v>138</v>
      </c>
      <c r="E278" s="7" t="s">
        <v>93</v>
      </c>
      <c r="F278" s="8">
        <v>4</v>
      </c>
      <c r="G278" s="8" t="s">
        <v>115</v>
      </c>
      <c r="H278" s="8">
        <f>VLOOKUP(E278,'[1]Master File'!$A:$F,5,0)*F278</f>
        <v>360</v>
      </c>
      <c r="I278" s="8">
        <f>VLOOKUP($E278,'[1]Master File'!$A:$F,6,0)*$F278</f>
        <v>460.8</v>
      </c>
    </row>
    <row r="279" spans="1:9" x14ac:dyDescent="0.3">
      <c r="A279" s="6">
        <v>44579</v>
      </c>
      <c r="B279" s="6" t="s">
        <v>113</v>
      </c>
      <c r="C279" s="16">
        <v>18</v>
      </c>
      <c r="D279" s="6" t="s">
        <v>138</v>
      </c>
      <c r="E279" s="7" t="s">
        <v>24</v>
      </c>
      <c r="F279" s="8">
        <v>9</v>
      </c>
      <c r="G279" s="8" t="s">
        <v>117</v>
      </c>
      <c r="H279" s="8">
        <f>VLOOKUP(E279,'[1]Master File'!$A:$F,5,0)*F279</f>
        <v>747</v>
      </c>
      <c r="I279" s="8">
        <f>VLOOKUP($E279,'[1]Master File'!$A:$F,6,0)*$F279</f>
        <v>851.58</v>
      </c>
    </row>
    <row r="280" spans="1:9" x14ac:dyDescent="0.3">
      <c r="A280" s="6">
        <v>44581</v>
      </c>
      <c r="B280" s="6" t="s">
        <v>113</v>
      </c>
      <c r="C280" s="16">
        <v>20</v>
      </c>
      <c r="D280" s="6" t="s">
        <v>138</v>
      </c>
      <c r="E280" s="7" t="s">
        <v>53</v>
      </c>
      <c r="F280" s="8">
        <v>2</v>
      </c>
      <c r="G280" s="8" t="s">
        <v>117</v>
      </c>
      <c r="H280" s="8">
        <f>VLOOKUP(E280,'[1]Master File'!$A:$F,5,0)*F280</f>
        <v>252</v>
      </c>
      <c r="I280" s="8">
        <f>VLOOKUP($E280,'[1]Master File'!$A:$F,6,0)*$F280</f>
        <v>325.08</v>
      </c>
    </row>
    <row r="281" spans="1:9" x14ac:dyDescent="0.3">
      <c r="A281" s="6">
        <v>44581</v>
      </c>
      <c r="B281" s="6" t="s">
        <v>113</v>
      </c>
      <c r="C281" s="16">
        <v>20</v>
      </c>
      <c r="D281" s="6" t="s">
        <v>138</v>
      </c>
      <c r="E281" s="7" t="s">
        <v>38</v>
      </c>
      <c r="F281" s="8">
        <v>7</v>
      </c>
      <c r="G281" s="8" t="s">
        <v>115</v>
      </c>
      <c r="H281" s="8">
        <f>VLOOKUP(E281,'[1]Master File'!$A:$F,5,0)*F281</f>
        <v>784</v>
      </c>
      <c r="I281" s="8">
        <f>VLOOKUP($E281,'[1]Master File'!$A:$F,6,0)*$F281</f>
        <v>1027.04</v>
      </c>
    </row>
    <row r="282" spans="1:9" x14ac:dyDescent="0.3">
      <c r="A282" s="6">
        <v>44583</v>
      </c>
      <c r="B282" s="6" t="s">
        <v>113</v>
      </c>
      <c r="C282" s="16">
        <v>22</v>
      </c>
      <c r="D282" s="6" t="s">
        <v>138</v>
      </c>
      <c r="E282" s="7" t="s">
        <v>6</v>
      </c>
      <c r="F282" s="8">
        <v>6</v>
      </c>
      <c r="G282" s="8" t="s">
        <v>117</v>
      </c>
      <c r="H282" s="8">
        <f>VLOOKUP(E282,'[1]Master File'!$A:$F,5,0)*F282</f>
        <v>588</v>
      </c>
      <c r="I282" s="8">
        <f>VLOOKUP($E282,'[1]Master File'!$A:$F,6,0)*$F282</f>
        <v>623.28</v>
      </c>
    </row>
    <row r="283" spans="1:9" x14ac:dyDescent="0.3">
      <c r="A283" s="6">
        <v>44584</v>
      </c>
      <c r="B283" s="6" t="s">
        <v>113</v>
      </c>
      <c r="C283" s="16">
        <v>23</v>
      </c>
      <c r="D283" s="6" t="s">
        <v>138</v>
      </c>
      <c r="E283" s="7" t="s">
        <v>10</v>
      </c>
      <c r="F283" s="8">
        <v>5</v>
      </c>
      <c r="G283" s="8" t="s">
        <v>117</v>
      </c>
      <c r="H283" s="8">
        <f>VLOOKUP(E283,'[1]Master File'!$A:$F,5,0)*F283</f>
        <v>525</v>
      </c>
      <c r="I283" s="8">
        <f>VLOOKUP($E283,'[1]Master File'!$A:$F,6,0)*$F283</f>
        <v>714</v>
      </c>
    </row>
    <row r="284" spans="1:9" x14ac:dyDescent="0.3">
      <c r="A284" s="6">
        <v>44584</v>
      </c>
      <c r="B284" s="6" t="s">
        <v>113</v>
      </c>
      <c r="C284" s="16">
        <v>23</v>
      </c>
      <c r="D284" s="6" t="s">
        <v>138</v>
      </c>
      <c r="E284" s="7" t="s">
        <v>97</v>
      </c>
      <c r="F284" s="8">
        <v>8</v>
      </c>
      <c r="G284" s="8" t="s">
        <v>115</v>
      </c>
      <c r="H284" s="8">
        <f>VLOOKUP(E284,'[1]Master File'!$A:$F,5,0)*F284</f>
        <v>960</v>
      </c>
      <c r="I284" s="8">
        <f>VLOOKUP($E284,'[1]Master File'!$A:$F,6,0)*$F284</f>
        <v>1296</v>
      </c>
    </row>
    <row r="285" spans="1:9" x14ac:dyDescent="0.3">
      <c r="A285" s="6">
        <v>44585</v>
      </c>
      <c r="B285" s="6" t="s">
        <v>113</v>
      </c>
      <c r="C285" s="16">
        <v>24</v>
      </c>
      <c r="D285" s="6" t="s">
        <v>138</v>
      </c>
      <c r="E285" s="7" t="s">
        <v>72</v>
      </c>
      <c r="F285" s="8">
        <v>15</v>
      </c>
      <c r="G285" s="8" t="s">
        <v>115</v>
      </c>
      <c r="H285" s="8">
        <f>VLOOKUP(E285,'[1]Master File'!$A:$F,5,0)*F285</f>
        <v>2220</v>
      </c>
      <c r="I285" s="8">
        <f>VLOOKUP($E285,'[1]Master File'!$A:$F,6,0)*$F285</f>
        <v>3019.2</v>
      </c>
    </row>
    <row r="286" spans="1:9" x14ac:dyDescent="0.3">
      <c r="A286" s="6">
        <v>44586</v>
      </c>
      <c r="B286" s="6" t="s">
        <v>113</v>
      </c>
      <c r="C286" s="16">
        <v>25</v>
      </c>
      <c r="D286" s="6" t="s">
        <v>138</v>
      </c>
      <c r="E286" s="7" t="s">
        <v>44</v>
      </c>
      <c r="F286" s="8">
        <v>14</v>
      </c>
      <c r="G286" s="8" t="s">
        <v>117</v>
      </c>
      <c r="H286" s="8">
        <f>VLOOKUP(E286,'[1]Master File'!$A:$F,5,0)*F286</f>
        <v>1876</v>
      </c>
      <c r="I286" s="8">
        <f>VLOOKUP($E286,'[1]Master File'!$A:$F,6,0)*$F286</f>
        <v>2194.92</v>
      </c>
    </row>
    <row r="287" spans="1:9" x14ac:dyDescent="0.3">
      <c r="A287" s="6">
        <v>44589</v>
      </c>
      <c r="B287" s="6" t="s">
        <v>113</v>
      </c>
      <c r="C287" s="16">
        <v>28</v>
      </c>
      <c r="D287" s="6" t="s">
        <v>138</v>
      </c>
      <c r="E287" s="7" t="s">
        <v>42</v>
      </c>
      <c r="F287" s="8">
        <v>11</v>
      </c>
      <c r="G287" s="8" t="s">
        <v>115</v>
      </c>
      <c r="H287" s="8">
        <f>VLOOKUP(E287,'[1]Master File'!$A:$F,5,0)*F287</f>
        <v>143</v>
      </c>
      <c r="I287" s="8">
        <f>VLOOKUP($E287,'[1]Master File'!$A:$F,6,0)*$F287</f>
        <v>183.04000000000002</v>
      </c>
    </row>
    <row r="288" spans="1:9" x14ac:dyDescent="0.3">
      <c r="A288" s="6">
        <v>44592</v>
      </c>
      <c r="B288" s="6" t="s">
        <v>113</v>
      </c>
      <c r="C288" s="16">
        <v>31</v>
      </c>
      <c r="D288" s="6" t="s">
        <v>138</v>
      </c>
      <c r="E288" s="7" t="s">
        <v>57</v>
      </c>
      <c r="F288" s="8">
        <v>6</v>
      </c>
      <c r="G288" s="8" t="s">
        <v>117</v>
      </c>
      <c r="H288" s="8">
        <f>VLOOKUP(E288,'[1]Master File'!$A:$F,5,0)*F288</f>
        <v>846</v>
      </c>
      <c r="I288" s="8">
        <f>VLOOKUP($E288,'[1]Master File'!$A:$F,6,0)*$F288</f>
        <v>896.76</v>
      </c>
    </row>
    <row r="289" spans="1:9" x14ac:dyDescent="0.3">
      <c r="A289" s="6">
        <v>44592</v>
      </c>
      <c r="B289" s="6" t="s">
        <v>113</v>
      </c>
      <c r="C289" s="16">
        <v>31</v>
      </c>
      <c r="D289" s="6" t="s">
        <v>138</v>
      </c>
      <c r="E289" s="7" t="s">
        <v>95</v>
      </c>
      <c r="F289" s="8">
        <v>9</v>
      </c>
      <c r="G289" s="8" t="s">
        <v>117</v>
      </c>
      <c r="H289" s="8">
        <f>VLOOKUP(E289,'[1]Master File'!$A:$F,5,0)*F289</f>
        <v>1242</v>
      </c>
      <c r="I289" s="8">
        <f>VLOOKUP($E289,'[1]Master File'!$A:$F,6,0)*$F289</f>
        <v>1564.92</v>
      </c>
    </row>
    <row r="290" spans="1:9" x14ac:dyDescent="0.3">
      <c r="A290" s="6">
        <v>44593</v>
      </c>
      <c r="B290" s="6" t="s">
        <v>127</v>
      </c>
      <c r="C290" s="16">
        <v>1</v>
      </c>
      <c r="D290" s="6" t="s">
        <v>138</v>
      </c>
      <c r="E290" s="7" t="s">
        <v>17</v>
      </c>
      <c r="F290" s="8">
        <v>9</v>
      </c>
      <c r="G290" s="8" t="s">
        <v>117</v>
      </c>
      <c r="H290" s="8">
        <f>VLOOKUP(E290,'[1]Master File'!$A:$F,5,0)*F290</f>
        <v>1197</v>
      </c>
      <c r="I290" s="8">
        <f>VLOOKUP($E290,'[1]Master File'!$A:$F,6,0)*$F290</f>
        <v>1400.4900000000002</v>
      </c>
    </row>
    <row r="291" spans="1:9" x14ac:dyDescent="0.3">
      <c r="A291" s="6">
        <v>44595</v>
      </c>
      <c r="B291" s="6" t="s">
        <v>127</v>
      </c>
      <c r="C291" s="16">
        <v>3</v>
      </c>
      <c r="D291" s="6" t="s">
        <v>138</v>
      </c>
      <c r="E291" s="7" t="s">
        <v>38</v>
      </c>
      <c r="F291" s="8">
        <v>8</v>
      </c>
      <c r="G291" s="8" t="s">
        <v>115</v>
      </c>
      <c r="H291" s="8">
        <f>VLOOKUP(E291,'[1]Master File'!$A:$F,5,0)*F291</f>
        <v>896</v>
      </c>
      <c r="I291" s="8">
        <f>VLOOKUP($E291,'[1]Master File'!$A:$F,6,0)*$F291</f>
        <v>1173.76</v>
      </c>
    </row>
    <row r="292" spans="1:9" x14ac:dyDescent="0.3">
      <c r="A292" s="6">
        <v>44597</v>
      </c>
      <c r="B292" s="6" t="s">
        <v>127</v>
      </c>
      <c r="C292" s="16">
        <v>5</v>
      </c>
      <c r="D292" s="6" t="s">
        <v>138</v>
      </c>
      <c r="E292" s="7" t="s">
        <v>46</v>
      </c>
      <c r="F292" s="8">
        <v>6</v>
      </c>
      <c r="G292" s="8" t="s">
        <v>117</v>
      </c>
      <c r="H292" s="8">
        <f>VLOOKUP(E292,'[1]Master File'!$A:$F,5,0)*F292</f>
        <v>222</v>
      </c>
      <c r="I292" s="8">
        <f>VLOOKUP($E292,'[1]Master File'!$A:$F,6,0)*$F292</f>
        <v>295.26</v>
      </c>
    </row>
    <row r="293" spans="1:9" x14ac:dyDescent="0.3">
      <c r="A293" s="6">
        <v>44598</v>
      </c>
      <c r="B293" s="6" t="s">
        <v>127</v>
      </c>
      <c r="C293" s="16">
        <v>6</v>
      </c>
      <c r="D293" s="6" t="s">
        <v>138</v>
      </c>
      <c r="E293" s="7" t="s">
        <v>10</v>
      </c>
      <c r="F293" s="8">
        <v>6</v>
      </c>
      <c r="G293" s="8" t="s">
        <v>117</v>
      </c>
      <c r="H293" s="8">
        <f>VLOOKUP(E293,'[1]Master File'!$A:$F,5,0)*F293</f>
        <v>630</v>
      </c>
      <c r="I293" s="8">
        <f>VLOOKUP($E293,'[1]Master File'!$A:$F,6,0)*$F293</f>
        <v>856.80000000000007</v>
      </c>
    </row>
    <row r="294" spans="1:9" x14ac:dyDescent="0.3">
      <c r="A294" s="6">
        <v>44600</v>
      </c>
      <c r="B294" s="6" t="s">
        <v>127</v>
      </c>
      <c r="C294" s="16">
        <v>8</v>
      </c>
      <c r="D294" s="6" t="s">
        <v>138</v>
      </c>
      <c r="E294" s="7" t="s">
        <v>17</v>
      </c>
      <c r="F294" s="8">
        <v>11</v>
      </c>
      <c r="G294" s="8" t="s">
        <v>117</v>
      </c>
      <c r="H294" s="8">
        <f>VLOOKUP(E294,'[1]Master File'!$A:$F,5,0)*F294</f>
        <v>1463</v>
      </c>
      <c r="I294" s="8">
        <f>VLOOKUP($E294,'[1]Master File'!$A:$F,6,0)*$F294</f>
        <v>1711.71</v>
      </c>
    </row>
    <row r="295" spans="1:9" x14ac:dyDescent="0.3">
      <c r="A295" s="6">
        <v>44600</v>
      </c>
      <c r="B295" s="6" t="s">
        <v>127</v>
      </c>
      <c r="C295" s="16">
        <v>8</v>
      </c>
      <c r="D295" s="6" t="s">
        <v>138</v>
      </c>
      <c r="E295" s="7" t="s">
        <v>14</v>
      </c>
      <c r="F295" s="8">
        <v>3</v>
      </c>
      <c r="G295" s="8" t="s">
        <v>117</v>
      </c>
      <c r="H295" s="8">
        <f>VLOOKUP(E295,'[1]Master File'!$A:$F,5,0)*F295</f>
        <v>132</v>
      </c>
      <c r="I295" s="8">
        <f>VLOOKUP($E295,'[1]Master File'!$A:$F,6,0)*$F295</f>
        <v>146.52000000000001</v>
      </c>
    </row>
    <row r="296" spans="1:9" x14ac:dyDescent="0.3">
      <c r="A296" s="6">
        <v>44601</v>
      </c>
      <c r="B296" s="6" t="s">
        <v>127</v>
      </c>
      <c r="C296" s="16">
        <v>9</v>
      </c>
      <c r="D296" s="6" t="s">
        <v>138</v>
      </c>
      <c r="E296" s="7" t="s">
        <v>76</v>
      </c>
      <c r="F296" s="8">
        <v>14</v>
      </c>
      <c r="G296" s="8" t="s">
        <v>115</v>
      </c>
      <c r="H296" s="8">
        <f>VLOOKUP(E296,'[1]Master File'!$A:$F,5,0)*F296</f>
        <v>1246</v>
      </c>
      <c r="I296" s="8">
        <f>VLOOKUP($E296,'[1]Master File'!$A:$F,6,0)*$F296</f>
        <v>1644.72</v>
      </c>
    </row>
    <row r="297" spans="1:9" x14ac:dyDescent="0.3">
      <c r="A297" s="6">
        <v>44604</v>
      </c>
      <c r="B297" s="6" t="s">
        <v>127</v>
      </c>
      <c r="C297" s="16">
        <v>12</v>
      </c>
      <c r="D297" s="6" t="s">
        <v>138</v>
      </c>
      <c r="E297" s="7" t="s">
        <v>29</v>
      </c>
      <c r="F297" s="8">
        <v>13</v>
      </c>
      <c r="G297" s="8" t="s">
        <v>117</v>
      </c>
      <c r="H297" s="8">
        <f>VLOOKUP(E297,'[1]Master File'!$A:$F,5,0)*F297</f>
        <v>1924</v>
      </c>
      <c r="I297" s="8">
        <f>VLOOKUP($E297,'[1]Master File'!$A:$F,6,0)*$F297</f>
        <v>2135.64</v>
      </c>
    </row>
    <row r="298" spans="1:9" x14ac:dyDescent="0.3">
      <c r="A298" s="6">
        <v>44606</v>
      </c>
      <c r="B298" s="6" t="s">
        <v>127</v>
      </c>
      <c r="C298" s="16">
        <v>14</v>
      </c>
      <c r="D298" s="6" t="s">
        <v>138</v>
      </c>
      <c r="E298" s="7" t="s">
        <v>63</v>
      </c>
      <c r="F298" s="8">
        <v>8</v>
      </c>
      <c r="G298" s="8" t="s">
        <v>117</v>
      </c>
      <c r="H298" s="8">
        <f>VLOOKUP(E298,'[1]Master File'!$A:$F,5,0)*F298</f>
        <v>144</v>
      </c>
      <c r="I298" s="8">
        <f>VLOOKUP($E298,'[1]Master File'!$A:$F,6,0)*$F298</f>
        <v>197.28</v>
      </c>
    </row>
    <row r="299" spans="1:9" x14ac:dyDescent="0.3">
      <c r="A299" s="6">
        <v>44606</v>
      </c>
      <c r="B299" s="6" t="s">
        <v>127</v>
      </c>
      <c r="C299" s="16">
        <v>14</v>
      </c>
      <c r="D299" s="6" t="s">
        <v>138</v>
      </c>
      <c r="E299" s="7" t="s">
        <v>68</v>
      </c>
      <c r="F299" s="8">
        <v>3</v>
      </c>
      <c r="G299" s="8" t="s">
        <v>117</v>
      </c>
      <c r="H299" s="8">
        <f>VLOOKUP(E299,'[1]Master File'!$A:$F,5,0)*F299</f>
        <v>111</v>
      </c>
      <c r="I299" s="8">
        <f>VLOOKUP($E299,'[1]Master File'!$A:$F,6,0)*$F299</f>
        <v>125.43</v>
      </c>
    </row>
    <row r="300" spans="1:9" x14ac:dyDescent="0.3">
      <c r="A300" s="6">
        <v>44608</v>
      </c>
      <c r="B300" s="6" t="s">
        <v>127</v>
      </c>
      <c r="C300" s="16">
        <v>16</v>
      </c>
      <c r="D300" s="6" t="s">
        <v>138</v>
      </c>
      <c r="E300" s="7" t="s">
        <v>76</v>
      </c>
      <c r="F300" s="8">
        <v>1</v>
      </c>
      <c r="G300" s="8" t="s">
        <v>117</v>
      </c>
      <c r="H300" s="8">
        <f>VLOOKUP(E300,'[1]Master File'!$A:$F,5,0)*F300</f>
        <v>89</v>
      </c>
      <c r="I300" s="8">
        <f>VLOOKUP($E300,'[1]Master File'!$A:$F,6,0)*$F300</f>
        <v>117.48</v>
      </c>
    </row>
    <row r="301" spans="1:9" x14ac:dyDescent="0.3">
      <c r="A301" s="6">
        <v>44611</v>
      </c>
      <c r="B301" s="6" t="s">
        <v>127</v>
      </c>
      <c r="C301" s="16">
        <v>19</v>
      </c>
      <c r="D301" s="6" t="s">
        <v>138</v>
      </c>
      <c r="E301" s="7" t="s">
        <v>10</v>
      </c>
      <c r="F301" s="8">
        <v>13</v>
      </c>
      <c r="G301" s="8" t="s">
        <v>117</v>
      </c>
      <c r="H301" s="8">
        <f>VLOOKUP(E301,'[1]Master File'!$A:$F,5,0)*F301</f>
        <v>1365</v>
      </c>
      <c r="I301" s="8">
        <f>VLOOKUP($E301,'[1]Master File'!$A:$F,6,0)*$F301</f>
        <v>1856.4</v>
      </c>
    </row>
    <row r="302" spans="1:9" x14ac:dyDescent="0.3">
      <c r="A302" s="6">
        <v>44612</v>
      </c>
      <c r="B302" s="6" t="s">
        <v>127</v>
      </c>
      <c r="C302" s="16">
        <v>20</v>
      </c>
      <c r="D302" s="6" t="s">
        <v>138</v>
      </c>
      <c r="E302" s="7" t="s">
        <v>34</v>
      </c>
      <c r="F302" s="8">
        <v>6</v>
      </c>
      <c r="G302" s="8" t="s">
        <v>117</v>
      </c>
      <c r="H302" s="8">
        <f>VLOOKUP(E302,'[1]Master File'!$A:$F,5,0)*F302</f>
        <v>438</v>
      </c>
      <c r="I302" s="8">
        <f>VLOOKUP($E302,'[1]Master File'!$A:$F,6,0)*$F302</f>
        <v>565.02</v>
      </c>
    </row>
    <row r="303" spans="1:9" x14ac:dyDescent="0.3">
      <c r="A303" s="6">
        <v>44615</v>
      </c>
      <c r="B303" s="6" t="s">
        <v>127</v>
      </c>
      <c r="C303" s="16">
        <v>23</v>
      </c>
      <c r="D303" s="6" t="s">
        <v>138</v>
      </c>
      <c r="E303" s="7" t="s">
        <v>36</v>
      </c>
      <c r="F303" s="8">
        <v>6</v>
      </c>
      <c r="G303" s="8" t="s">
        <v>115</v>
      </c>
      <c r="H303" s="8">
        <f>VLOOKUP(E303,'[1]Master File'!$A:$F,5,0)*F303</f>
        <v>672</v>
      </c>
      <c r="I303" s="8">
        <f>VLOOKUP($E303,'[1]Master File'!$A:$F,6,0)*$F303</f>
        <v>732.48</v>
      </c>
    </row>
    <row r="304" spans="1:9" x14ac:dyDescent="0.3">
      <c r="A304" s="6">
        <v>44615</v>
      </c>
      <c r="B304" s="6" t="s">
        <v>127</v>
      </c>
      <c r="C304" s="16">
        <v>23</v>
      </c>
      <c r="D304" s="6" t="s">
        <v>138</v>
      </c>
      <c r="E304" s="7" t="s">
        <v>42</v>
      </c>
      <c r="F304" s="8">
        <v>15</v>
      </c>
      <c r="G304" s="8" t="s">
        <v>117</v>
      </c>
      <c r="H304" s="8">
        <f>VLOOKUP(E304,'[1]Master File'!$A:$F,5,0)*F304</f>
        <v>195</v>
      </c>
      <c r="I304" s="8">
        <f>VLOOKUP($E304,'[1]Master File'!$A:$F,6,0)*$F304</f>
        <v>249.60000000000002</v>
      </c>
    </row>
    <row r="305" spans="1:9" x14ac:dyDescent="0.3">
      <c r="A305" s="6">
        <v>44615</v>
      </c>
      <c r="B305" s="6" t="s">
        <v>127</v>
      </c>
      <c r="C305" s="16">
        <v>23</v>
      </c>
      <c r="D305" s="6" t="s">
        <v>138</v>
      </c>
      <c r="E305" s="7" t="s">
        <v>84</v>
      </c>
      <c r="F305" s="8">
        <v>8</v>
      </c>
      <c r="G305" s="8" t="s">
        <v>115</v>
      </c>
      <c r="H305" s="8">
        <f>VLOOKUP(E305,'[1]Master File'!$A:$F,5,0)*F305</f>
        <v>720</v>
      </c>
      <c r="I305" s="8">
        <f>VLOOKUP($E305,'[1]Master File'!$A:$F,6,0)*$F305</f>
        <v>770.4</v>
      </c>
    </row>
    <row r="306" spans="1:9" x14ac:dyDescent="0.3">
      <c r="A306" s="6">
        <v>44619</v>
      </c>
      <c r="B306" s="6" t="s">
        <v>127</v>
      </c>
      <c r="C306" s="16">
        <v>27</v>
      </c>
      <c r="D306" s="6" t="s">
        <v>138</v>
      </c>
      <c r="E306" s="7" t="s">
        <v>34</v>
      </c>
      <c r="F306" s="8">
        <v>7</v>
      </c>
      <c r="G306" s="8" t="s">
        <v>117</v>
      </c>
      <c r="H306" s="8">
        <f>VLOOKUP(E306,'[1]Master File'!$A:$F,5,0)*F306</f>
        <v>511</v>
      </c>
      <c r="I306" s="8">
        <f>VLOOKUP($E306,'[1]Master File'!$A:$F,6,0)*$F306</f>
        <v>659.19</v>
      </c>
    </row>
    <row r="307" spans="1:9" x14ac:dyDescent="0.3">
      <c r="A307" s="6">
        <v>44619</v>
      </c>
      <c r="B307" s="6" t="s">
        <v>127</v>
      </c>
      <c r="C307" s="16">
        <v>27</v>
      </c>
      <c r="D307" s="6" t="s">
        <v>138</v>
      </c>
      <c r="E307" s="7" t="s">
        <v>17</v>
      </c>
      <c r="F307" s="8">
        <v>15</v>
      </c>
      <c r="G307" s="8" t="s">
        <v>115</v>
      </c>
      <c r="H307" s="8">
        <f>VLOOKUP(E307,'[1]Master File'!$A:$F,5,0)*F307</f>
        <v>1995</v>
      </c>
      <c r="I307" s="8">
        <f>VLOOKUP($E307,'[1]Master File'!$A:$F,6,0)*$F307</f>
        <v>2334.15</v>
      </c>
    </row>
    <row r="308" spans="1:9" x14ac:dyDescent="0.3">
      <c r="A308" s="6">
        <v>44620</v>
      </c>
      <c r="B308" s="6" t="s">
        <v>127</v>
      </c>
      <c r="C308" s="16">
        <v>28</v>
      </c>
      <c r="D308" s="6" t="s">
        <v>138</v>
      </c>
      <c r="E308" s="7" t="s">
        <v>86</v>
      </c>
      <c r="F308" s="8">
        <v>15</v>
      </c>
      <c r="G308" s="8" t="s">
        <v>117</v>
      </c>
      <c r="H308" s="8">
        <f>VLOOKUP(E308,'[1]Master File'!$A:$F,5,0)*F308</f>
        <v>1005</v>
      </c>
      <c r="I308" s="8">
        <f>VLOOKUP($E308,'[1]Master File'!$A:$F,6,0)*$F308</f>
        <v>1286.4000000000001</v>
      </c>
    </row>
    <row r="309" spans="1:9" x14ac:dyDescent="0.3">
      <c r="A309" s="6">
        <v>44624</v>
      </c>
      <c r="B309" s="6" t="s">
        <v>128</v>
      </c>
      <c r="C309" s="16">
        <v>4</v>
      </c>
      <c r="D309" s="6" t="s">
        <v>138</v>
      </c>
      <c r="E309" s="7" t="s">
        <v>63</v>
      </c>
      <c r="F309" s="8">
        <v>13</v>
      </c>
      <c r="G309" s="8" t="s">
        <v>115</v>
      </c>
      <c r="H309" s="8">
        <f>VLOOKUP(E309,'[1]Master File'!$A:$F,5,0)*F309</f>
        <v>234</v>
      </c>
      <c r="I309" s="8">
        <f>VLOOKUP($E309,'[1]Master File'!$A:$F,6,0)*$F309</f>
        <v>320.58</v>
      </c>
    </row>
    <row r="310" spans="1:9" x14ac:dyDescent="0.3">
      <c r="A310" s="6">
        <v>44626</v>
      </c>
      <c r="B310" s="6" t="s">
        <v>128</v>
      </c>
      <c r="C310" s="16">
        <v>6</v>
      </c>
      <c r="D310" s="6" t="s">
        <v>138</v>
      </c>
      <c r="E310" s="7" t="s">
        <v>14</v>
      </c>
      <c r="F310" s="8">
        <v>2</v>
      </c>
      <c r="G310" s="8" t="s">
        <v>117</v>
      </c>
      <c r="H310" s="8">
        <f>VLOOKUP(E310,'[1]Master File'!$A:$F,5,0)*F310</f>
        <v>88</v>
      </c>
      <c r="I310" s="8">
        <f>VLOOKUP($E310,'[1]Master File'!$A:$F,6,0)*$F310</f>
        <v>97.68</v>
      </c>
    </row>
    <row r="311" spans="1:9" x14ac:dyDescent="0.3">
      <c r="A311" s="6">
        <v>44627</v>
      </c>
      <c r="B311" s="6" t="s">
        <v>128</v>
      </c>
      <c r="C311" s="16">
        <v>7</v>
      </c>
      <c r="D311" s="6" t="s">
        <v>138</v>
      </c>
      <c r="E311" s="7" t="s">
        <v>12</v>
      </c>
      <c r="F311" s="8">
        <v>1</v>
      </c>
      <c r="G311" s="8" t="s">
        <v>117</v>
      </c>
      <c r="H311" s="8">
        <f>VLOOKUP(E311,'[1]Master File'!$A:$F,5,0)*F311</f>
        <v>71</v>
      </c>
      <c r="I311" s="8">
        <f>VLOOKUP($E311,'[1]Master File'!$A:$F,6,0)*$F311</f>
        <v>80.94</v>
      </c>
    </row>
    <row r="312" spans="1:9" x14ac:dyDescent="0.3">
      <c r="A312" s="6">
        <v>44628</v>
      </c>
      <c r="B312" s="6" t="s">
        <v>128</v>
      </c>
      <c r="C312" s="16">
        <v>8</v>
      </c>
      <c r="D312" s="6" t="s">
        <v>138</v>
      </c>
      <c r="E312" s="7" t="s">
        <v>101</v>
      </c>
      <c r="F312" s="8">
        <v>6</v>
      </c>
      <c r="G312" s="8" t="s">
        <v>115</v>
      </c>
      <c r="H312" s="8">
        <f>VLOOKUP(E312,'[1]Master File'!$A:$F,5,0)*F312</f>
        <v>456</v>
      </c>
      <c r="I312" s="8">
        <f>VLOOKUP($E312,'[1]Master File'!$A:$F,6,0)*$F312</f>
        <v>492.48</v>
      </c>
    </row>
    <row r="313" spans="1:9" x14ac:dyDescent="0.3">
      <c r="A313" s="6">
        <v>44629</v>
      </c>
      <c r="B313" s="6" t="s">
        <v>128</v>
      </c>
      <c r="C313" s="16">
        <v>9</v>
      </c>
      <c r="D313" s="6" t="s">
        <v>138</v>
      </c>
      <c r="E313" s="7" t="s">
        <v>72</v>
      </c>
      <c r="F313" s="8">
        <v>3</v>
      </c>
      <c r="G313" s="8" t="s">
        <v>115</v>
      </c>
      <c r="H313" s="8">
        <f>VLOOKUP(E313,'[1]Master File'!$A:$F,5,0)*F313</f>
        <v>444</v>
      </c>
      <c r="I313" s="8">
        <f>VLOOKUP($E313,'[1]Master File'!$A:$F,6,0)*$F313</f>
        <v>603.84</v>
      </c>
    </row>
    <row r="314" spans="1:9" x14ac:dyDescent="0.3">
      <c r="A314" s="6">
        <v>44629</v>
      </c>
      <c r="B314" s="6" t="s">
        <v>128</v>
      </c>
      <c r="C314" s="16">
        <v>9</v>
      </c>
      <c r="D314" s="6" t="s">
        <v>138</v>
      </c>
      <c r="E314" s="7" t="s">
        <v>14</v>
      </c>
      <c r="F314" s="8">
        <v>11</v>
      </c>
      <c r="G314" s="8" t="s">
        <v>117</v>
      </c>
      <c r="H314" s="8">
        <f>VLOOKUP(E314,'[1]Master File'!$A:$F,5,0)*F314</f>
        <v>484</v>
      </c>
      <c r="I314" s="8">
        <f>VLOOKUP($E314,'[1]Master File'!$A:$F,6,0)*$F314</f>
        <v>537.24</v>
      </c>
    </row>
    <row r="315" spans="1:9" x14ac:dyDescent="0.3">
      <c r="A315" s="6">
        <v>44630</v>
      </c>
      <c r="B315" s="6" t="s">
        <v>128</v>
      </c>
      <c r="C315" s="16">
        <v>10</v>
      </c>
      <c r="D315" s="6" t="s">
        <v>138</v>
      </c>
      <c r="E315" s="7" t="s">
        <v>78</v>
      </c>
      <c r="F315" s="8">
        <v>12</v>
      </c>
      <c r="G315" s="8" t="s">
        <v>115</v>
      </c>
      <c r="H315" s="8">
        <f>VLOOKUP(E315,'[1]Master File'!$A:$F,5,0)*F315</f>
        <v>1140</v>
      </c>
      <c r="I315" s="8">
        <f>VLOOKUP($E315,'[1]Master File'!$A:$F,6,0)*$F315</f>
        <v>1436.4</v>
      </c>
    </row>
    <row r="316" spans="1:9" x14ac:dyDescent="0.3">
      <c r="A316" s="6">
        <v>44634</v>
      </c>
      <c r="B316" s="6" t="s">
        <v>128</v>
      </c>
      <c r="C316" s="16">
        <v>14</v>
      </c>
      <c r="D316" s="6" t="s">
        <v>138</v>
      </c>
      <c r="E316" s="7" t="s">
        <v>42</v>
      </c>
      <c r="F316" s="8">
        <v>2</v>
      </c>
      <c r="G316" s="8" t="s">
        <v>117</v>
      </c>
      <c r="H316" s="8">
        <f>VLOOKUP(E316,'[1]Master File'!$A:$F,5,0)*F316</f>
        <v>26</v>
      </c>
      <c r="I316" s="8">
        <f>VLOOKUP($E316,'[1]Master File'!$A:$F,6,0)*$F316</f>
        <v>33.28</v>
      </c>
    </row>
    <row r="317" spans="1:9" x14ac:dyDescent="0.3">
      <c r="A317" s="6">
        <v>44634</v>
      </c>
      <c r="B317" s="6" t="s">
        <v>128</v>
      </c>
      <c r="C317" s="16">
        <v>14</v>
      </c>
      <c r="D317" s="6" t="s">
        <v>138</v>
      </c>
      <c r="E317" s="7" t="s">
        <v>63</v>
      </c>
      <c r="F317" s="8">
        <v>13</v>
      </c>
      <c r="G317" s="8" t="s">
        <v>115</v>
      </c>
      <c r="H317" s="8">
        <f>VLOOKUP(E317,'[1]Master File'!$A:$F,5,0)*F317</f>
        <v>234</v>
      </c>
      <c r="I317" s="8">
        <f>VLOOKUP($E317,'[1]Master File'!$A:$F,6,0)*$F317</f>
        <v>320.58</v>
      </c>
    </row>
    <row r="318" spans="1:9" x14ac:dyDescent="0.3">
      <c r="A318" s="6">
        <v>44638</v>
      </c>
      <c r="B318" s="6" t="s">
        <v>128</v>
      </c>
      <c r="C318" s="16">
        <v>18</v>
      </c>
      <c r="D318" s="6" t="s">
        <v>138</v>
      </c>
      <c r="E318" s="7" t="s">
        <v>48</v>
      </c>
      <c r="F318" s="8">
        <v>2</v>
      </c>
      <c r="G318" s="8" t="s">
        <v>117</v>
      </c>
      <c r="H318" s="8">
        <f>VLOOKUP(E318,'[1]Master File'!$A:$F,5,0)*F318</f>
        <v>300</v>
      </c>
      <c r="I318" s="8">
        <f>VLOOKUP($E318,'[1]Master File'!$A:$F,6,0)*$F318</f>
        <v>420</v>
      </c>
    </row>
    <row r="319" spans="1:9" x14ac:dyDescent="0.3">
      <c r="A319" s="6">
        <v>44638</v>
      </c>
      <c r="B319" s="6" t="s">
        <v>128</v>
      </c>
      <c r="C319" s="16">
        <v>18</v>
      </c>
      <c r="D319" s="6" t="s">
        <v>138</v>
      </c>
      <c r="E319" s="7" t="s">
        <v>66</v>
      </c>
      <c r="F319" s="8">
        <v>10</v>
      </c>
      <c r="G319" s="8" t="s">
        <v>117</v>
      </c>
      <c r="H319" s="8">
        <f>VLOOKUP(E319,'[1]Master File'!$A:$F,5,0)*F319</f>
        <v>480</v>
      </c>
      <c r="I319" s="8">
        <f>VLOOKUP($E319,'[1]Master File'!$A:$F,6,0)*$F319</f>
        <v>571.20000000000005</v>
      </c>
    </row>
    <row r="320" spans="1:9" x14ac:dyDescent="0.3">
      <c r="A320" s="6">
        <v>44639</v>
      </c>
      <c r="B320" s="6" t="s">
        <v>128</v>
      </c>
      <c r="C320" s="16">
        <v>19</v>
      </c>
      <c r="D320" s="6" t="s">
        <v>138</v>
      </c>
      <c r="E320" s="7" t="s">
        <v>95</v>
      </c>
      <c r="F320" s="8">
        <v>6</v>
      </c>
      <c r="G320" s="8" t="s">
        <v>117</v>
      </c>
      <c r="H320" s="8">
        <f>VLOOKUP(E320,'[1]Master File'!$A:$F,5,0)*F320</f>
        <v>828</v>
      </c>
      <c r="I320" s="8">
        <f>VLOOKUP($E320,'[1]Master File'!$A:$F,6,0)*$F320</f>
        <v>1043.28</v>
      </c>
    </row>
    <row r="321" spans="1:9" x14ac:dyDescent="0.3">
      <c r="A321" s="6">
        <v>44643</v>
      </c>
      <c r="B321" s="6" t="s">
        <v>128</v>
      </c>
      <c r="C321" s="16">
        <v>23</v>
      </c>
      <c r="D321" s="6" t="s">
        <v>138</v>
      </c>
      <c r="E321" s="7" t="s">
        <v>76</v>
      </c>
      <c r="F321" s="8">
        <v>9</v>
      </c>
      <c r="G321" s="8" t="s">
        <v>117</v>
      </c>
      <c r="H321" s="8">
        <f>VLOOKUP(E321,'[1]Master File'!$A:$F,5,0)*F321</f>
        <v>801</v>
      </c>
      <c r="I321" s="8">
        <f>VLOOKUP($E321,'[1]Master File'!$A:$F,6,0)*$F321</f>
        <v>1057.32</v>
      </c>
    </row>
    <row r="322" spans="1:9" x14ac:dyDescent="0.3">
      <c r="A322" s="6">
        <v>44645</v>
      </c>
      <c r="B322" s="6" t="s">
        <v>128</v>
      </c>
      <c r="C322" s="16">
        <v>25</v>
      </c>
      <c r="D322" s="6" t="s">
        <v>138</v>
      </c>
      <c r="E322" s="7" t="s">
        <v>6</v>
      </c>
      <c r="F322" s="8">
        <v>2</v>
      </c>
      <c r="G322" s="8" t="s">
        <v>115</v>
      </c>
      <c r="H322" s="8">
        <f>VLOOKUP(E322,'[1]Master File'!$A:$F,5,0)*F322</f>
        <v>196</v>
      </c>
      <c r="I322" s="8">
        <f>VLOOKUP($E322,'[1]Master File'!$A:$F,6,0)*$F322</f>
        <v>207.76</v>
      </c>
    </row>
    <row r="323" spans="1:9" x14ac:dyDescent="0.3">
      <c r="A323" s="6">
        <v>44645</v>
      </c>
      <c r="B323" s="6" t="s">
        <v>128</v>
      </c>
      <c r="C323" s="16">
        <v>25</v>
      </c>
      <c r="D323" s="6" t="s">
        <v>138</v>
      </c>
      <c r="E323" s="7" t="s">
        <v>72</v>
      </c>
      <c r="F323" s="8">
        <v>11</v>
      </c>
      <c r="G323" s="8" t="s">
        <v>115</v>
      </c>
      <c r="H323" s="8">
        <f>VLOOKUP(E323,'[1]Master File'!$A:$F,5,0)*F323</f>
        <v>1628</v>
      </c>
      <c r="I323" s="8">
        <f>VLOOKUP($E323,'[1]Master File'!$A:$F,6,0)*$F323</f>
        <v>2214.08</v>
      </c>
    </row>
    <row r="324" spans="1:9" x14ac:dyDescent="0.3">
      <c r="A324" s="6">
        <v>44649</v>
      </c>
      <c r="B324" s="6" t="s">
        <v>128</v>
      </c>
      <c r="C324" s="16">
        <v>29</v>
      </c>
      <c r="D324" s="6" t="s">
        <v>138</v>
      </c>
      <c r="E324" s="7" t="s">
        <v>76</v>
      </c>
      <c r="F324" s="8">
        <v>12</v>
      </c>
      <c r="G324" s="8" t="s">
        <v>115</v>
      </c>
      <c r="H324" s="8">
        <f>VLOOKUP(E324,'[1]Master File'!$A:$F,5,0)*F324</f>
        <v>1068</v>
      </c>
      <c r="I324" s="8">
        <f>VLOOKUP($E324,'[1]Master File'!$A:$F,6,0)*$F324</f>
        <v>1409.76</v>
      </c>
    </row>
    <row r="325" spans="1:9" x14ac:dyDescent="0.3">
      <c r="A325" s="6">
        <v>44650</v>
      </c>
      <c r="B325" s="6" t="s">
        <v>128</v>
      </c>
      <c r="C325" s="16">
        <v>30</v>
      </c>
      <c r="D325" s="6" t="s">
        <v>138</v>
      </c>
      <c r="E325" s="7" t="s">
        <v>6</v>
      </c>
      <c r="F325" s="8">
        <v>13</v>
      </c>
      <c r="G325" s="8" t="s">
        <v>117</v>
      </c>
      <c r="H325" s="8">
        <f>VLOOKUP(E325,'[1]Master File'!$A:$F,5,0)*F325</f>
        <v>1274</v>
      </c>
      <c r="I325" s="8">
        <f>VLOOKUP($E325,'[1]Master File'!$A:$F,6,0)*$F325</f>
        <v>1350.44</v>
      </c>
    </row>
    <row r="326" spans="1:9" x14ac:dyDescent="0.3">
      <c r="A326" s="6">
        <v>44652</v>
      </c>
      <c r="B326" s="6" t="s">
        <v>129</v>
      </c>
      <c r="C326" s="16">
        <v>1</v>
      </c>
      <c r="D326" s="6" t="s">
        <v>138</v>
      </c>
      <c r="E326" s="7" t="s">
        <v>10</v>
      </c>
      <c r="F326" s="8">
        <v>2</v>
      </c>
      <c r="G326" s="8" t="s">
        <v>117</v>
      </c>
      <c r="H326" s="8">
        <f>VLOOKUP(E326,'[1]Master File'!$A:$F,5,0)*F326</f>
        <v>210</v>
      </c>
      <c r="I326" s="8">
        <f>VLOOKUP($E326,'[1]Master File'!$A:$F,6,0)*$F326</f>
        <v>285.60000000000002</v>
      </c>
    </row>
    <row r="327" spans="1:9" x14ac:dyDescent="0.3">
      <c r="A327" s="6">
        <v>44653</v>
      </c>
      <c r="B327" s="6" t="s">
        <v>129</v>
      </c>
      <c r="C327" s="16">
        <v>2</v>
      </c>
      <c r="D327" s="6" t="s">
        <v>138</v>
      </c>
      <c r="E327" s="7" t="s">
        <v>10</v>
      </c>
      <c r="F327" s="8">
        <v>3</v>
      </c>
      <c r="G327" s="8" t="s">
        <v>117</v>
      </c>
      <c r="H327" s="8">
        <f>VLOOKUP(E327,'[1]Master File'!$A:$F,5,0)*F327</f>
        <v>315</v>
      </c>
      <c r="I327" s="8">
        <f>VLOOKUP($E327,'[1]Master File'!$A:$F,6,0)*$F327</f>
        <v>428.40000000000003</v>
      </c>
    </row>
    <row r="328" spans="1:9" x14ac:dyDescent="0.3">
      <c r="A328" s="6">
        <v>44657</v>
      </c>
      <c r="B328" s="6" t="s">
        <v>129</v>
      </c>
      <c r="C328" s="16">
        <v>6</v>
      </c>
      <c r="D328" s="6" t="s">
        <v>138</v>
      </c>
      <c r="E328" s="7" t="s">
        <v>93</v>
      </c>
      <c r="F328" s="8">
        <v>2</v>
      </c>
      <c r="G328" s="8" t="s">
        <v>117</v>
      </c>
      <c r="H328" s="8">
        <f>VLOOKUP(E328,'[1]Master File'!$A:$F,5,0)*F328</f>
        <v>180</v>
      </c>
      <c r="I328" s="8">
        <f>VLOOKUP($E328,'[1]Master File'!$A:$F,6,0)*$F328</f>
        <v>230.4</v>
      </c>
    </row>
    <row r="329" spans="1:9" x14ac:dyDescent="0.3">
      <c r="A329" s="6">
        <v>44658</v>
      </c>
      <c r="B329" s="6" t="s">
        <v>129</v>
      </c>
      <c r="C329" s="16">
        <v>7</v>
      </c>
      <c r="D329" s="6" t="s">
        <v>138</v>
      </c>
      <c r="E329" s="7" t="s">
        <v>63</v>
      </c>
      <c r="F329" s="8">
        <v>7</v>
      </c>
      <c r="G329" s="8" t="s">
        <v>115</v>
      </c>
      <c r="H329" s="8">
        <f>VLOOKUP(E329,'[1]Master File'!$A:$F,5,0)*F329</f>
        <v>126</v>
      </c>
      <c r="I329" s="8">
        <f>VLOOKUP($E329,'[1]Master File'!$A:$F,6,0)*$F329</f>
        <v>172.62</v>
      </c>
    </row>
    <row r="330" spans="1:9" x14ac:dyDescent="0.3">
      <c r="A330" s="6">
        <v>44660</v>
      </c>
      <c r="B330" s="6" t="s">
        <v>129</v>
      </c>
      <c r="C330" s="16">
        <v>9</v>
      </c>
      <c r="D330" s="6" t="s">
        <v>138</v>
      </c>
      <c r="E330" s="7" t="s">
        <v>91</v>
      </c>
      <c r="F330" s="8">
        <v>12</v>
      </c>
      <c r="G330" s="8" t="s">
        <v>117</v>
      </c>
      <c r="H330" s="8">
        <f>VLOOKUP(E330,'[1]Master File'!$A:$F,5,0)*F330</f>
        <v>444</v>
      </c>
      <c r="I330" s="8">
        <f>VLOOKUP($E330,'[1]Master File'!$A:$F,6,0)*$F330</f>
        <v>510.59999999999997</v>
      </c>
    </row>
    <row r="331" spans="1:9" x14ac:dyDescent="0.3">
      <c r="A331" s="6">
        <v>44660</v>
      </c>
      <c r="B331" s="6" t="s">
        <v>129</v>
      </c>
      <c r="C331" s="16">
        <v>9</v>
      </c>
      <c r="D331" s="6" t="s">
        <v>138</v>
      </c>
      <c r="E331" s="7" t="s">
        <v>10</v>
      </c>
      <c r="F331" s="8">
        <v>9</v>
      </c>
      <c r="G331" s="8" t="s">
        <v>115</v>
      </c>
      <c r="H331" s="8">
        <f>VLOOKUP(E331,'[1]Master File'!$A:$F,5,0)*F331</f>
        <v>945</v>
      </c>
      <c r="I331" s="8">
        <f>VLOOKUP($E331,'[1]Master File'!$A:$F,6,0)*$F331</f>
        <v>1285.2</v>
      </c>
    </row>
    <row r="332" spans="1:9" x14ac:dyDescent="0.3">
      <c r="A332" s="6">
        <v>44664</v>
      </c>
      <c r="B332" s="6" t="s">
        <v>129</v>
      </c>
      <c r="C332" s="16">
        <v>13</v>
      </c>
      <c r="D332" s="6" t="s">
        <v>138</v>
      </c>
      <c r="E332" s="7" t="s">
        <v>42</v>
      </c>
      <c r="F332" s="8">
        <v>14</v>
      </c>
      <c r="G332" s="8" t="s">
        <v>115</v>
      </c>
      <c r="H332" s="8">
        <f>VLOOKUP(E332,'[1]Master File'!$A:$F,5,0)*F332</f>
        <v>182</v>
      </c>
      <c r="I332" s="8">
        <f>VLOOKUP($E332,'[1]Master File'!$A:$F,6,0)*$F332</f>
        <v>232.96</v>
      </c>
    </row>
    <row r="333" spans="1:9" x14ac:dyDescent="0.3">
      <c r="A333" s="6">
        <v>44669</v>
      </c>
      <c r="B333" s="6" t="s">
        <v>129</v>
      </c>
      <c r="C333" s="16">
        <v>18</v>
      </c>
      <c r="D333" s="6" t="s">
        <v>138</v>
      </c>
      <c r="E333" s="7" t="s">
        <v>95</v>
      </c>
      <c r="F333" s="8">
        <v>9</v>
      </c>
      <c r="G333" s="8" t="s">
        <v>117</v>
      </c>
      <c r="H333" s="8">
        <f>VLOOKUP(E333,'[1]Master File'!$A:$F,5,0)*F333</f>
        <v>1242</v>
      </c>
      <c r="I333" s="8">
        <f>VLOOKUP($E333,'[1]Master File'!$A:$F,6,0)*$F333</f>
        <v>1564.92</v>
      </c>
    </row>
    <row r="334" spans="1:9" x14ac:dyDescent="0.3">
      <c r="A334" s="6">
        <v>44671</v>
      </c>
      <c r="B334" s="6" t="s">
        <v>129</v>
      </c>
      <c r="C334" s="16">
        <v>20</v>
      </c>
      <c r="D334" s="6" t="s">
        <v>138</v>
      </c>
      <c r="E334" s="7" t="s">
        <v>46</v>
      </c>
      <c r="F334" s="8">
        <v>2</v>
      </c>
      <c r="G334" s="8" t="s">
        <v>115</v>
      </c>
      <c r="H334" s="8">
        <f>VLOOKUP(E334,'[1]Master File'!$A:$F,5,0)*F334</f>
        <v>74</v>
      </c>
      <c r="I334" s="8">
        <f>VLOOKUP($E334,'[1]Master File'!$A:$F,6,0)*$F334</f>
        <v>98.42</v>
      </c>
    </row>
    <row r="335" spans="1:9" x14ac:dyDescent="0.3">
      <c r="A335" s="6">
        <v>44671</v>
      </c>
      <c r="B335" s="6" t="s">
        <v>129</v>
      </c>
      <c r="C335" s="16">
        <v>20</v>
      </c>
      <c r="D335" s="6" t="s">
        <v>138</v>
      </c>
      <c r="E335" s="7" t="s">
        <v>34</v>
      </c>
      <c r="F335" s="8">
        <v>4</v>
      </c>
      <c r="G335" s="8" t="s">
        <v>115</v>
      </c>
      <c r="H335" s="8">
        <f>VLOOKUP(E335,'[1]Master File'!$A:$F,5,0)*F335</f>
        <v>292</v>
      </c>
      <c r="I335" s="8">
        <f>VLOOKUP($E335,'[1]Master File'!$A:$F,6,0)*$F335</f>
        <v>376.68</v>
      </c>
    </row>
    <row r="336" spans="1:9" x14ac:dyDescent="0.3">
      <c r="A336" s="6">
        <v>44672</v>
      </c>
      <c r="B336" s="6" t="s">
        <v>129</v>
      </c>
      <c r="C336" s="16">
        <v>21</v>
      </c>
      <c r="D336" s="6" t="s">
        <v>138</v>
      </c>
      <c r="E336" s="7" t="s">
        <v>72</v>
      </c>
      <c r="F336" s="8">
        <v>2</v>
      </c>
      <c r="G336" s="8" t="s">
        <v>117</v>
      </c>
      <c r="H336" s="8">
        <f>VLOOKUP(E336,'[1]Master File'!$A:$F,5,0)*F336</f>
        <v>296</v>
      </c>
      <c r="I336" s="8">
        <f>VLOOKUP($E336,'[1]Master File'!$A:$F,6,0)*$F336</f>
        <v>402.56</v>
      </c>
    </row>
    <row r="337" spans="1:9" x14ac:dyDescent="0.3">
      <c r="A337" s="6">
        <v>44672</v>
      </c>
      <c r="B337" s="6" t="s">
        <v>129</v>
      </c>
      <c r="C337" s="16">
        <v>21</v>
      </c>
      <c r="D337" s="6" t="s">
        <v>138</v>
      </c>
      <c r="E337" s="7" t="s">
        <v>63</v>
      </c>
      <c r="F337" s="8">
        <v>14</v>
      </c>
      <c r="G337" s="8" t="s">
        <v>115</v>
      </c>
      <c r="H337" s="8">
        <f>VLOOKUP(E337,'[1]Master File'!$A:$F,5,0)*F337</f>
        <v>252</v>
      </c>
      <c r="I337" s="8">
        <f>VLOOKUP($E337,'[1]Master File'!$A:$F,6,0)*$F337</f>
        <v>345.24</v>
      </c>
    </row>
    <row r="338" spans="1:9" x14ac:dyDescent="0.3">
      <c r="A338" s="6">
        <v>44674</v>
      </c>
      <c r="B338" s="6" t="s">
        <v>129</v>
      </c>
      <c r="C338" s="16">
        <v>23</v>
      </c>
      <c r="D338" s="6" t="s">
        <v>138</v>
      </c>
      <c r="E338" s="7" t="s">
        <v>101</v>
      </c>
      <c r="F338" s="8">
        <v>15</v>
      </c>
      <c r="G338" s="8" t="s">
        <v>115</v>
      </c>
      <c r="H338" s="8">
        <f>VLOOKUP(E338,'[1]Master File'!$A:$F,5,0)*F338</f>
        <v>1140</v>
      </c>
      <c r="I338" s="8">
        <f>VLOOKUP($E338,'[1]Master File'!$A:$F,6,0)*$F338</f>
        <v>1231.2</v>
      </c>
    </row>
    <row r="339" spans="1:9" x14ac:dyDescent="0.3">
      <c r="A339" s="6">
        <v>44675</v>
      </c>
      <c r="B339" s="6" t="s">
        <v>129</v>
      </c>
      <c r="C339" s="16">
        <v>24</v>
      </c>
      <c r="D339" s="6" t="s">
        <v>138</v>
      </c>
      <c r="E339" s="7" t="s">
        <v>80</v>
      </c>
      <c r="F339" s="8">
        <v>4</v>
      </c>
      <c r="G339" s="8" t="s">
        <v>115</v>
      </c>
      <c r="H339" s="8">
        <f>VLOOKUP(E339,'[1]Master File'!$A:$F,5,0)*F339</f>
        <v>220</v>
      </c>
      <c r="I339" s="8">
        <f>VLOOKUP($E339,'[1]Master File'!$A:$F,6,0)*$F339</f>
        <v>233.2</v>
      </c>
    </row>
    <row r="340" spans="1:9" x14ac:dyDescent="0.3">
      <c r="A340" s="6">
        <v>44676</v>
      </c>
      <c r="B340" s="6" t="s">
        <v>129</v>
      </c>
      <c r="C340" s="16">
        <v>25</v>
      </c>
      <c r="D340" s="6" t="s">
        <v>138</v>
      </c>
      <c r="E340" s="7" t="s">
        <v>14</v>
      </c>
      <c r="F340" s="8">
        <v>9</v>
      </c>
      <c r="G340" s="8" t="s">
        <v>117</v>
      </c>
      <c r="H340" s="8">
        <f>VLOOKUP(E340,'[1]Master File'!$A:$F,5,0)*F340</f>
        <v>396</v>
      </c>
      <c r="I340" s="8">
        <f>VLOOKUP($E340,'[1]Master File'!$A:$F,6,0)*$F340</f>
        <v>439.56000000000006</v>
      </c>
    </row>
    <row r="341" spans="1:9" x14ac:dyDescent="0.3">
      <c r="A341" s="6">
        <v>44676</v>
      </c>
      <c r="B341" s="6" t="s">
        <v>129</v>
      </c>
      <c r="C341" s="16">
        <v>25</v>
      </c>
      <c r="D341" s="6" t="s">
        <v>138</v>
      </c>
      <c r="E341" s="7" t="s">
        <v>12</v>
      </c>
      <c r="F341" s="8">
        <v>8</v>
      </c>
      <c r="G341" s="8" t="s">
        <v>115</v>
      </c>
      <c r="H341" s="8">
        <f>VLOOKUP(E341,'[1]Master File'!$A:$F,5,0)*F341</f>
        <v>568</v>
      </c>
      <c r="I341" s="8">
        <f>VLOOKUP($E341,'[1]Master File'!$A:$F,6,0)*$F341</f>
        <v>647.52</v>
      </c>
    </row>
    <row r="342" spans="1:9" x14ac:dyDescent="0.3">
      <c r="A342" s="6">
        <v>44677</v>
      </c>
      <c r="B342" s="6" t="s">
        <v>129</v>
      </c>
      <c r="C342" s="16">
        <v>26</v>
      </c>
      <c r="D342" s="6" t="s">
        <v>138</v>
      </c>
      <c r="E342" s="7" t="s">
        <v>66</v>
      </c>
      <c r="F342" s="8">
        <v>2</v>
      </c>
      <c r="G342" s="8" t="s">
        <v>117</v>
      </c>
      <c r="H342" s="8">
        <f>VLOOKUP(E342,'[1]Master File'!$A:$F,5,0)*F342</f>
        <v>96</v>
      </c>
      <c r="I342" s="8">
        <f>VLOOKUP($E342,'[1]Master File'!$A:$F,6,0)*$F342</f>
        <v>114.24000000000001</v>
      </c>
    </row>
    <row r="343" spans="1:9" x14ac:dyDescent="0.3">
      <c r="A343" s="6">
        <v>44679</v>
      </c>
      <c r="B343" s="6" t="s">
        <v>129</v>
      </c>
      <c r="C343" s="16">
        <v>28</v>
      </c>
      <c r="D343" s="6" t="s">
        <v>138</v>
      </c>
      <c r="E343" s="7" t="s">
        <v>38</v>
      </c>
      <c r="F343" s="8">
        <v>14</v>
      </c>
      <c r="G343" s="8" t="s">
        <v>117</v>
      </c>
      <c r="H343" s="8">
        <f>VLOOKUP(E343,'[1]Master File'!$A:$F,5,0)*F343</f>
        <v>1568</v>
      </c>
      <c r="I343" s="8">
        <f>VLOOKUP($E343,'[1]Master File'!$A:$F,6,0)*$F343</f>
        <v>2054.08</v>
      </c>
    </row>
    <row r="344" spans="1:9" x14ac:dyDescent="0.3">
      <c r="A344" s="6">
        <v>44681</v>
      </c>
      <c r="B344" s="6" t="s">
        <v>129</v>
      </c>
      <c r="C344" s="16">
        <v>30</v>
      </c>
      <c r="D344" s="6" t="s">
        <v>138</v>
      </c>
      <c r="E344" s="7" t="s">
        <v>42</v>
      </c>
      <c r="F344" s="8">
        <v>13</v>
      </c>
      <c r="G344" s="8" t="s">
        <v>115</v>
      </c>
      <c r="H344" s="8">
        <f>VLOOKUP(E344,'[1]Master File'!$A:$F,5,0)*F344</f>
        <v>169</v>
      </c>
      <c r="I344" s="8">
        <f>VLOOKUP($E344,'[1]Master File'!$A:$F,6,0)*$F344</f>
        <v>216.32</v>
      </c>
    </row>
    <row r="345" spans="1:9" x14ac:dyDescent="0.3">
      <c r="A345" s="6">
        <v>44681</v>
      </c>
      <c r="B345" s="6" t="s">
        <v>129</v>
      </c>
      <c r="C345" s="16">
        <v>30</v>
      </c>
      <c r="D345" s="6" t="s">
        <v>138</v>
      </c>
      <c r="E345" s="7" t="s">
        <v>66</v>
      </c>
      <c r="F345" s="8">
        <v>8</v>
      </c>
      <c r="G345" s="8" t="s">
        <v>115</v>
      </c>
      <c r="H345" s="8">
        <f>VLOOKUP(E345,'[1]Master File'!$A:$F,5,0)*F345</f>
        <v>384</v>
      </c>
      <c r="I345" s="8">
        <f>VLOOKUP($E345,'[1]Master File'!$A:$F,6,0)*$F345</f>
        <v>456.96000000000004</v>
      </c>
    </row>
    <row r="346" spans="1:9" x14ac:dyDescent="0.3">
      <c r="A346" s="6">
        <v>44682</v>
      </c>
      <c r="B346" s="6" t="s">
        <v>130</v>
      </c>
      <c r="C346" s="16">
        <v>1</v>
      </c>
      <c r="D346" s="6" t="s">
        <v>138</v>
      </c>
      <c r="E346" s="7" t="s">
        <v>80</v>
      </c>
      <c r="F346" s="8">
        <v>9</v>
      </c>
      <c r="G346" s="8" t="s">
        <v>115</v>
      </c>
      <c r="H346" s="8">
        <f>VLOOKUP(E346,'[1]Master File'!$A:$F,5,0)*F346</f>
        <v>495</v>
      </c>
      <c r="I346" s="8">
        <f>VLOOKUP($E346,'[1]Master File'!$A:$F,6,0)*$F346</f>
        <v>524.69999999999993</v>
      </c>
    </row>
    <row r="347" spans="1:9" x14ac:dyDescent="0.3">
      <c r="A347" s="6">
        <v>44682</v>
      </c>
      <c r="B347" s="6" t="s">
        <v>130</v>
      </c>
      <c r="C347" s="16">
        <v>1</v>
      </c>
      <c r="D347" s="6" t="s">
        <v>138</v>
      </c>
      <c r="E347" s="7" t="s">
        <v>78</v>
      </c>
      <c r="F347" s="8">
        <v>6</v>
      </c>
      <c r="G347" s="8" t="s">
        <v>115</v>
      </c>
      <c r="H347" s="8">
        <f>VLOOKUP(E347,'[1]Master File'!$A:$F,5,0)*F347</f>
        <v>570</v>
      </c>
      <c r="I347" s="8">
        <f>VLOOKUP($E347,'[1]Master File'!$A:$F,6,0)*$F347</f>
        <v>718.2</v>
      </c>
    </row>
    <row r="348" spans="1:9" x14ac:dyDescent="0.3">
      <c r="A348" s="6">
        <v>44683</v>
      </c>
      <c r="B348" s="6" t="s">
        <v>130</v>
      </c>
      <c r="C348" s="16">
        <v>2</v>
      </c>
      <c r="D348" s="6" t="s">
        <v>138</v>
      </c>
      <c r="E348" s="7" t="s">
        <v>36</v>
      </c>
      <c r="F348" s="8">
        <v>4</v>
      </c>
      <c r="G348" s="8" t="s">
        <v>117</v>
      </c>
      <c r="H348" s="8">
        <f>VLOOKUP(E348,'[1]Master File'!$A:$F,5,0)*F348</f>
        <v>448</v>
      </c>
      <c r="I348" s="8">
        <f>VLOOKUP($E348,'[1]Master File'!$A:$F,6,0)*$F348</f>
        <v>488.32</v>
      </c>
    </row>
    <row r="349" spans="1:9" x14ac:dyDescent="0.3">
      <c r="A349" s="6">
        <v>44685</v>
      </c>
      <c r="B349" s="6" t="s">
        <v>130</v>
      </c>
      <c r="C349" s="16">
        <v>4</v>
      </c>
      <c r="D349" s="6" t="s">
        <v>138</v>
      </c>
      <c r="E349" s="7" t="s">
        <v>50</v>
      </c>
      <c r="F349" s="8">
        <v>10</v>
      </c>
      <c r="G349" s="8" t="s">
        <v>115</v>
      </c>
      <c r="H349" s="8">
        <f>VLOOKUP(E349,'[1]Master File'!$A:$F,5,0)*F349</f>
        <v>610</v>
      </c>
      <c r="I349" s="8">
        <f>VLOOKUP($E349,'[1]Master File'!$A:$F,6,0)*$F349</f>
        <v>762.5</v>
      </c>
    </row>
    <row r="350" spans="1:9" x14ac:dyDescent="0.3">
      <c r="A350" s="6">
        <v>44687</v>
      </c>
      <c r="B350" s="6" t="s">
        <v>130</v>
      </c>
      <c r="C350" s="16">
        <v>6</v>
      </c>
      <c r="D350" s="6" t="s">
        <v>138</v>
      </c>
      <c r="E350" s="7" t="s">
        <v>80</v>
      </c>
      <c r="F350" s="8">
        <v>7</v>
      </c>
      <c r="G350" s="8" t="s">
        <v>115</v>
      </c>
      <c r="H350" s="8">
        <f>VLOOKUP(E350,'[1]Master File'!$A:$F,5,0)*F350</f>
        <v>385</v>
      </c>
      <c r="I350" s="8">
        <f>VLOOKUP($E350,'[1]Master File'!$A:$F,6,0)*$F350</f>
        <v>408.09999999999997</v>
      </c>
    </row>
    <row r="351" spans="1:9" x14ac:dyDescent="0.3">
      <c r="A351" s="6">
        <v>44688</v>
      </c>
      <c r="B351" s="6" t="s">
        <v>130</v>
      </c>
      <c r="C351" s="16">
        <v>7</v>
      </c>
      <c r="D351" s="6" t="s">
        <v>138</v>
      </c>
      <c r="E351" s="7" t="s">
        <v>40</v>
      </c>
      <c r="F351" s="8">
        <v>4</v>
      </c>
      <c r="G351" s="8" t="s">
        <v>117</v>
      </c>
      <c r="H351" s="8">
        <f>VLOOKUP(E351,'[1]Master File'!$A:$F,5,0)*F351</f>
        <v>48</v>
      </c>
      <c r="I351" s="8">
        <f>VLOOKUP($E351,'[1]Master File'!$A:$F,6,0)*$F351</f>
        <v>62.879999999999995</v>
      </c>
    </row>
    <row r="352" spans="1:9" x14ac:dyDescent="0.3">
      <c r="A352" s="6">
        <v>44688</v>
      </c>
      <c r="B352" s="6" t="s">
        <v>130</v>
      </c>
      <c r="C352" s="16">
        <v>7</v>
      </c>
      <c r="D352" s="6" t="s">
        <v>138</v>
      </c>
      <c r="E352" s="7" t="s">
        <v>66</v>
      </c>
      <c r="F352" s="8">
        <v>1</v>
      </c>
      <c r="G352" s="8" t="s">
        <v>115</v>
      </c>
      <c r="H352" s="8">
        <f>VLOOKUP(E352,'[1]Master File'!$A:$F,5,0)*F352</f>
        <v>48</v>
      </c>
      <c r="I352" s="8">
        <f>VLOOKUP($E352,'[1]Master File'!$A:$F,6,0)*$F352</f>
        <v>57.120000000000005</v>
      </c>
    </row>
    <row r="353" spans="1:9" x14ac:dyDescent="0.3">
      <c r="A353" s="6">
        <v>44689</v>
      </c>
      <c r="B353" s="6" t="s">
        <v>130</v>
      </c>
      <c r="C353" s="16">
        <v>8</v>
      </c>
      <c r="D353" s="6" t="s">
        <v>138</v>
      </c>
      <c r="E353" s="7" t="s">
        <v>55</v>
      </c>
      <c r="F353" s="8">
        <v>7</v>
      </c>
      <c r="G353" s="8" t="s">
        <v>115</v>
      </c>
      <c r="H353" s="8">
        <f>VLOOKUP(E353,'[1]Master File'!$A:$F,5,0)*F353</f>
        <v>847</v>
      </c>
      <c r="I353" s="8">
        <f>VLOOKUP($E353,'[1]Master File'!$A:$F,6,0)*$F353</f>
        <v>990.99</v>
      </c>
    </row>
    <row r="354" spans="1:9" x14ac:dyDescent="0.3">
      <c r="A354" s="6">
        <v>44690</v>
      </c>
      <c r="B354" s="6" t="s">
        <v>130</v>
      </c>
      <c r="C354" s="16">
        <v>9</v>
      </c>
      <c r="D354" s="6" t="s">
        <v>138</v>
      </c>
      <c r="E354" s="7" t="s">
        <v>44</v>
      </c>
      <c r="F354" s="8">
        <v>12</v>
      </c>
      <c r="G354" s="8" t="s">
        <v>117</v>
      </c>
      <c r="H354" s="8">
        <f>VLOOKUP(E354,'[1]Master File'!$A:$F,5,0)*F354</f>
        <v>1608</v>
      </c>
      <c r="I354" s="8">
        <f>VLOOKUP($E354,'[1]Master File'!$A:$F,6,0)*$F354</f>
        <v>1881.3600000000001</v>
      </c>
    </row>
    <row r="355" spans="1:9" x14ac:dyDescent="0.3">
      <c r="A355" s="6">
        <v>44691</v>
      </c>
      <c r="B355" s="6" t="s">
        <v>130</v>
      </c>
      <c r="C355" s="16">
        <v>10</v>
      </c>
      <c r="D355" s="6" t="s">
        <v>138</v>
      </c>
      <c r="E355" s="7" t="s">
        <v>26</v>
      </c>
      <c r="F355" s="8">
        <v>6</v>
      </c>
      <c r="G355" s="8" t="s">
        <v>115</v>
      </c>
      <c r="H355" s="8">
        <f>VLOOKUP(E355,'[1]Master File'!$A:$F,5,0)*F355</f>
        <v>36</v>
      </c>
      <c r="I355" s="8">
        <f>VLOOKUP($E355,'[1]Master File'!$A:$F,6,0)*$F355</f>
        <v>47.16</v>
      </c>
    </row>
    <row r="356" spans="1:9" x14ac:dyDescent="0.3">
      <c r="A356" s="6">
        <v>44693</v>
      </c>
      <c r="B356" s="6" t="s">
        <v>130</v>
      </c>
      <c r="C356" s="16">
        <v>12</v>
      </c>
      <c r="D356" s="6" t="s">
        <v>138</v>
      </c>
      <c r="E356" s="7" t="s">
        <v>32</v>
      </c>
      <c r="F356" s="8">
        <v>7</v>
      </c>
      <c r="G356" s="8" t="s">
        <v>117</v>
      </c>
      <c r="H356" s="8">
        <f>VLOOKUP(E356,'[1]Master File'!$A:$F,5,0)*F356</f>
        <v>308</v>
      </c>
      <c r="I356" s="8">
        <f>VLOOKUP($E356,'[1]Master File'!$A:$F,6,0)*$F356</f>
        <v>338.8</v>
      </c>
    </row>
    <row r="357" spans="1:9" x14ac:dyDescent="0.3">
      <c r="A357" s="6">
        <v>44694</v>
      </c>
      <c r="B357" s="6" t="s">
        <v>130</v>
      </c>
      <c r="C357" s="16">
        <v>13</v>
      </c>
      <c r="D357" s="6" t="s">
        <v>138</v>
      </c>
      <c r="E357" s="7" t="s">
        <v>34</v>
      </c>
      <c r="F357" s="8">
        <v>5</v>
      </c>
      <c r="G357" s="8" t="s">
        <v>115</v>
      </c>
      <c r="H357" s="8">
        <f>VLOOKUP(E357,'[1]Master File'!$A:$F,5,0)*F357</f>
        <v>365</v>
      </c>
      <c r="I357" s="8">
        <f>VLOOKUP($E357,'[1]Master File'!$A:$F,6,0)*$F357</f>
        <v>470.85</v>
      </c>
    </row>
    <row r="358" spans="1:9" x14ac:dyDescent="0.3">
      <c r="A358" s="6">
        <v>44695</v>
      </c>
      <c r="B358" s="6" t="s">
        <v>130</v>
      </c>
      <c r="C358" s="16">
        <v>14</v>
      </c>
      <c r="D358" s="6" t="s">
        <v>138</v>
      </c>
      <c r="E358" s="7" t="s">
        <v>24</v>
      </c>
      <c r="F358" s="8">
        <v>14</v>
      </c>
      <c r="G358" s="8" t="s">
        <v>117</v>
      </c>
      <c r="H358" s="8">
        <f>VLOOKUP(E358,'[1]Master File'!$A:$F,5,0)*F358</f>
        <v>1162</v>
      </c>
      <c r="I358" s="8">
        <f>VLOOKUP($E358,'[1]Master File'!$A:$F,6,0)*$F358</f>
        <v>1324.68</v>
      </c>
    </row>
    <row r="359" spans="1:9" x14ac:dyDescent="0.3">
      <c r="A359" s="6">
        <v>44696</v>
      </c>
      <c r="B359" s="6" t="s">
        <v>130</v>
      </c>
      <c r="C359" s="16">
        <v>15</v>
      </c>
      <c r="D359" s="6" t="s">
        <v>138</v>
      </c>
      <c r="E359" s="7" t="s">
        <v>50</v>
      </c>
      <c r="F359" s="8">
        <v>5</v>
      </c>
      <c r="G359" s="8" t="s">
        <v>115</v>
      </c>
      <c r="H359" s="8">
        <f>VLOOKUP(E359,'[1]Master File'!$A:$F,5,0)*F359</f>
        <v>305</v>
      </c>
      <c r="I359" s="8">
        <f>VLOOKUP($E359,'[1]Master File'!$A:$F,6,0)*$F359</f>
        <v>381.25</v>
      </c>
    </row>
    <row r="360" spans="1:9" x14ac:dyDescent="0.3">
      <c r="A360" s="6">
        <v>44697</v>
      </c>
      <c r="B360" s="6" t="s">
        <v>130</v>
      </c>
      <c r="C360" s="16">
        <v>16</v>
      </c>
      <c r="D360" s="6" t="s">
        <v>138</v>
      </c>
      <c r="E360" s="7" t="s">
        <v>29</v>
      </c>
      <c r="F360" s="8">
        <v>13</v>
      </c>
      <c r="G360" s="8" t="s">
        <v>117</v>
      </c>
      <c r="H360" s="8">
        <f>VLOOKUP(E360,'[1]Master File'!$A:$F,5,0)*F360</f>
        <v>1924</v>
      </c>
      <c r="I360" s="8">
        <f>VLOOKUP($E360,'[1]Master File'!$A:$F,6,0)*$F360</f>
        <v>2135.64</v>
      </c>
    </row>
    <row r="361" spans="1:9" x14ac:dyDescent="0.3">
      <c r="A361" s="6">
        <v>44697</v>
      </c>
      <c r="B361" s="6" t="s">
        <v>130</v>
      </c>
      <c r="C361" s="16">
        <v>16</v>
      </c>
      <c r="D361" s="6" t="s">
        <v>138</v>
      </c>
      <c r="E361" s="7" t="s">
        <v>74</v>
      </c>
      <c r="F361" s="8">
        <v>13</v>
      </c>
      <c r="G361" s="8" t="s">
        <v>115</v>
      </c>
      <c r="H361" s="8">
        <f>VLOOKUP(E361,'[1]Master File'!$A:$F,5,0)*F361</f>
        <v>1209</v>
      </c>
      <c r="I361" s="8">
        <f>VLOOKUP($E361,'[1]Master File'!$A:$F,6,0)*$F361</f>
        <v>1354.08</v>
      </c>
    </row>
    <row r="362" spans="1:9" x14ac:dyDescent="0.3">
      <c r="A362" s="6">
        <v>44698</v>
      </c>
      <c r="B362" s="6" t="s">
        <v>130</v>
      </c>
      <c r="C362" s="16">
        <v>17</v>
      </c>
      <c r="D362" s="6" t="s">
        <v>138</v>
      </c>
      <c r="E362" s="7" t="s">
        <v>66</v>
      </c>
      <c r="F362" s="8">
        <v>8</v>
      </c>
      <c r="G362" s="8" t="s">
        <v>117</v>
      </c>
      <c r="H362" s="8">
        <f>VLOOKUP(E362,'[1]Master File'!$A:$F,5,0)*F362</f>
        <v>384</v>
      </c>
      <c r="I362" s="8">
        <f>VLOOKUP($E362,'[1]Master File'!$A:$F,6,0)*$F362</f>
        <v>456.96000000000004</v>
      </c>
    </row>
    <row r="363" spans="1:9" x14ac:dyDescent="0.3">
      <c r="A363" s="6">
        <v>44699</v>
      </c>
      <c r="B363" s="6" t="s">
        <v>130</v>
      </c>
      <c r="C363" s="16">
        <v>18</v>
      </c>
      <c r="D363" s="6" t="s">
        <v>138</v>
      </c>
      <c r="E363" s="7" t="s">
        <v>66</v>
      </c>
      <c r="F363" s="8">
        <v>4</v>
      </c>
      <c r="G363" s="8" t="s">
        <v>115</v>
      </c>
      <c r="H363" s="8">
        <f>VLOOKUP(E363,'[1]Master File'!$A:$F,5,0)*F363</f>
        <v>192</v>
      </c>
      <c r="I363" s="8">
        <f>VLOOKUP($E363,'[1]Master File'!$A:$F,6,0)*$F363</f>
        <v>228.48000000000002</v>
      </c>
    </row>
    <row r="364" spans="1:9" x14ac:dyDescent="0.3">
      <c r="A364" s="6">
        <v>44699</v>
      </c>
      <c r="B364" s="6" t="s">
        <v>130</v>
      </c>
      <c r="C364" s="16">
        <v>18</v>
      </c>
      <c r="D364" s="6" t="s">
        <v>138</v>
      </c>
      <c r="E364" s="7" t="s">
        <v>89</v>
      </c>
      <c r="F364" s="8">
        <v>8</v>
      </c>
      <c r="G364" s="8" t="s">
        <v>115</v>
      </c>
      <c r="H364" s="8">
        <f>VLOOKUP(E364,'[1]Master File'!$A:$F,5,0)*F364</f>
        <v>576</v>
      </c>
      <c r="I364" s="8">
        <f>VLOOKUP($E364,'[1]Master File'!$A:$F,6,0)*$F364</f>
        <v>639.36</v>
      </c>
    </row>
    <row r="365" spans="1:9" x14ac:dyDescent="0.3">
      <c r="A365" s="6">
        <v>44701</v>
      </c>
      <c r="B365" s="6" t="s">
        <v>130</v>
      </c>
      <c r="C365" s="16">
        <v>20</v>
      </c>
      <c r="D365" s="6" t="s">
        <v>138</v>
      </c>
      <c r="E365" s="7" t="s">
        <v>101</v>
      </c>
      <c r="F365" s="8">
        <v>15</v>
      </c>
      <c r="G365" s="8" t="s">
        <v>117</v>
      </c>
      <c r="H365" s="8">
        <f>VLOOKUP(E365,'[1]Master File'!$A:$F,5,0)*F365</f>
        <v>1140</v>
      </c>
      <c r="I365" s="8">
        <f>VLOOKUP($E365,'[1]Master File'!$A:$F,6,0)*$F365</f>
        <v>1231.2</v>
      </c>
    </row>
    <row r="366" spans="1:9" x14ac:dyDescent="0.3">
      <c r="A366" s="6">
        <v>44703</v>
      </c>
      <c r="B366" s="6" t="s">
        <v>130</v>
      </c>
      <c r="C366" s="16">
        <v>22</v>
      </c>
      <c r="D366" s="6" t="s">
        <v>138</v>
      </c>
      <c r="E366" s="7" t="s">
        <v>40</v>
      </c>
      <c r="F366" s="8">
        <v>12</v>
      </c>
      <c r="G366" s="8" t="s">
        <v>115</v>
      </c>
      <c r="H366" s="8">
        <f>VLOOKUP(E366,'[1]Master File'!$A:$F,5,0)*F366</f>
        <v>144</v>
      </c>
      <c r="I366" s="8">
        <f>VLOOKUP($E366,'[1]Master File'!$A:$F,6,0)*$F366</f>
        <v>188.64</v>
      </c>
    </row>
    <row r="367" spans="1:9" x14ac:dyDescent="0.3">
      <c r="A367" s="6">
        <v>44706</v>
      </c>
      <c r="B367" s="6" t="s">
        <v>130</v>
      </c>
      <c r="C367" s="16">
        <v>25</v>
      </c>
      <c r="D367" s="6" t="s">
        <v>138</v>
      </c>
      <c r="E367" s="7" t="s">
        <v>10</v>
      </c>
      <c r="F367" s="8">
        <v>7</v>
      </c>
      <c r="G367" s="8" t="s">
        <v>115</v>
      </c>
      <c r="H367" s="8">
        <f>VLOOKUP(E367,'[1]Master File'!$A:$F,5,0)*F367</f>
        <v>735</v>
      </c>
      <c r="I367" s="8">
        <f>VLOOKUP($E367,'[1]Master File'!$A:$F,6,0)*$F367</f>
        <v>999.60000000000014</v>
      </c>
    </row>
    <row r="368" spans="1:9" x14ac:dyDescent="0.3">
      <c r="A368" s="6">
        <v>44707</v>
      </c>
      <c r="B368" s="6" t="s">
        <v>130</v>
      </c>
      <c r="C368" s="16">
        <v>26</v>
      </c>
      <c r="D368" s="6" t="s">
        <v>138</v>
      </c>
      <c r="E368" s="7" t="s">
        <v>68</v>
      </c>
      <c r="F368" s="8">
        <v>2</v>
      </c>
      <c r="G368" s="8" t="s">
        <v>115</v>
      </c>
      <c r="H368" s="8">
        <f>VLOOKUP(E368,'[1]Master File'!$A:$F,5,0)*F368</f>
        <v>74</v>
      </c>
      <c r="I368" s="8">
        <f>VLOOKUP($E368,'[1]Master File'!$A:$F,6,0)*$F368</f>
        <v>83.62</v>
      </c>
    </row>
    <row r="369" spans="1:9" x14ac:dyDescent="0.3">
      <c r="A369" s="6">
        <v>44707</v>
      </c>
      <c r="B369" s="6" t="s">
        <v>130</v>
      </c>
      <c r="C369" s="16">
        <v>26</v>
      </c>
      <c r="D369" s="6" t="s">
        <v>138</v>
      </c>
      <c r="E369" s="7" t="s">
        <v>66</v>
      </c>
      <c r="F369" s="8">
        <v>2</v>
      </c>
      <c r="G369" s="8" t="s">
        <v>115</v>
      </c>
      <c r="H369" s="8">
        <f>VLOOKUP(E369,'[1]Master File'!$A:$F,5,0)*F369</f>
        <v>96</v>
      </c>
      <c r="I369" s="8">
        <f>VLOOKUP($E369,'[1]Master File'!$A:$F,6,0)*$F369</f>
        <v>114.24000000000001</v>
      </c>
    </row>
    <row r="370" spans="1:9" x14ac:dyDescent="0.3">
      <c r="A370" s="6">
        <v>44709</v>
      </c>
      <c r="B370" s="6" t="s">
        <v>130</v>
      </c>
      <c r="C370" s="16">
        <v>28</v>
      </c>
      <c r="D370" s="6" t="s">
        <v>138</v>
      </c>
      <c r="E370" s="7" t="s">
        <v>95</v>
      </c>
      <c r="F370" s="8">
        <v>10</v>
      </c>
      <c r="G370" s="8" t="s">
        <v>117</v>
      </c>
      <c r="H370" s="8">
        <f>VLOOKUP(E370,'[1]Master File'!$A:$F,5,0)*F370</f>
        <v>1380</v>
      </c>
      <c r="I370" s="8">
        <f>VLOOKUP($E370,'[1]Master File'!$A:$F,6,0)*$F370</f>
        <v>1738.8</v>
      </c>
    </row>
    <row r="371" spans="1:9" x14ac:dyDescent="0.3">
      <c r="A371" s="6">
        <v>44709</v>
      </c>
      <c r="B371" s="6" t="s">
        <v>130</v>
      </c>
      <c r="C371" s="16">
        <v>28</v>
      </c>
      <c r="D371" s="6" t="s">
        <v>138</v>
      </c>
      <c r="E371" s="7" t="s">
        <v>24</v>
      </c>
      <c r="F371" s="8">
        <v>5</v>
      </c>
      <c r="G371" s="8" t="s">
        <v>115</v>
      </c>
      <c r="H371" s="8">
        <f>VLOOKUP(E371,'[1]Master File'!$A:$F,5,0)*F371</f>
        <v>415</v>
      </c>
      <c r="I371" s="8">
        <f>VLOOKUP($E371,'[1]Master File'!$A:$F,6,0)*$F371</f>
        <v>473.1</v>
      </c>
    </row>
    <row r="372" spans="1:9" x14ac:dyDescent="0.3">
      <c r="A372" s="6">
        <v>44709</v>
      </c>
      <c r="B372" s="6" t="s">
        <v>130</v>
      </c>
      <c r="C372" s="16">
        <v>28</v>
      </c>
      <c r="D372" s="6" t="s">
        <v>138</v>
      </c>
      <c r="E372" s="7" t="s">
        <v>29</v>
      </c>
      <c r="F372" s="8">
        <v>9</v>
      </c>
      <c r="G372" s="8" t="s">
        <v>117</v>
      </c>
      <c r="H372" s="8">
        <f>VLOOKUP(E372,'[1]Master File'!$A:$F,5,0)*F372</f>
        <v>1332</v>
      </c>
      <c r="I372" s="8">
        <f>VLOOKUP($E372,'[1]Master File'!$A:$F,6,0)*$F372</f>
        <v>1478.52</v>
      </c>
    </row>
    <row r="373" spans="1:9" x14ac:dyDescent="0.3">
      <c r="A373" s="6">
        <v>44709</v>
      </c>
      <c r="B373" s="6" t="s">
        <v>130</v>
      </c>
      <c r="C373" s="16">
        <v>28</v>
      </c>
      <c r="D373" s="6" t="s">
        <v>138</v>
      </c>
      <c r="E373" s="7" t="s">
        <v>14</v>
      </c>
      <c r="F373" s="8">
        <v>12</v>
      </c>
      <c r="G373" s="8" t="s">
        <v>115</v>
      </c>
      <c r="H373" s="8">
        <f>VLOOKUP(E373,'[1]Master File'!$A:$F,5,0)*F373</f>
        <v>528</v>
      </c>
      <c r="I373" s="8">
        <f>VLOOKUP($E373,'[1]Master File'!$A:$F,6,0)*$F373</f>
        <v>586.08000000000004</v>
      </c>
    </row>
    <row r="374" spans="1:9" x14ac:dyDescent="0.3">
      <c r="A374" s="6">
        <v>44709</v>
      </c>
      <c r="B374" s="6" t="s">
        <v>130</v>
      </c>
      <c r="C374" s="16">
        <v>28</v>
      </c>
      <c r="D374" s="6" t="s">
        <v>138</v>
      </c>
      <c r="E374" s="7" t="s">
        <v>50</v>
      </c>
      <c r="F374" s="8">
        <v>14</v>
      </c>
      <c r="G374" s="8" t="s">
        <v>117</v>
      </c>
      <c r="H374" s="8">
        <f>VLOOKUP(E374,'[1]Master File'!$A:$F,5,0)*F374</f>
        <v>854</v>
      </c>
      <c r="I374" s="8">
        <f>VLOOKUP($E374,'[1]Master File'!$A:$F,6,0)*$F374</f>
        <v>1067.5</v>
      </c>
    </row>
    <row r="375" spans="1:9" x14ac:dyDescent="0.3">
      <c r="A375" s="6">
        <v>44711</v>
      </c>
      <c r="B375" s="6" t="s">
        <v>130</v>
      </c>
      <c r="C375" s="16">
        <v>30</v>
      </c>
      <c r="D375" s="6" t="s">
        <v>138</v>
      </c>
      <c r="E375" s="7" t="s">
        <v>101</v>
      </c>
      <c r="F375" s="8">
        <v>9</v>
      </c>
      <c r="G375" s="8" t="s">
        <v>115</v>
      </c>
      <c r="H375" s="8">
        <f>VLOOKUP(E375,'[1]Master File'!$A:$F,5,0)*F375</f>
        <v>684</v>
      </c>
      <c r="I375" s="8">
        <f>VLOOKUP($E375,'[1]Master File'!$A:$F,6,0)*$F375</f>
        <v>738.72</v>
      </c>
    </row>
    <row r="376" spans="1:9" x14ac:dyDescent="0.3">
      <c r="A376" s="6">
        <v>44711</v>
      </c>
      <c r="B376" s="6" t="s">
        <v>130</v>
      </c>
      <c r="C376" s="16">
        <v>30</v>
      </c>
      <c r="D376" s="6" t="s">
        <v>138</v>
      </c>
      <c r="E376" s="7" t="s">
        <v>17</v>
      </c>
      <c r="F376" s="8">
        <v>4</v>
      </c>
      <c r="G376" s="8" t="s">
        <v>117</v>
      </c>
      <c r="H376" s="8">
        <f>VLOOKUP(E376,'[1]Master File'!$A:$F,5,0)*F376</f>
        <v>532</v>
      </c>
      <c r="I376" s="8">
        <f>VLOOKUP($E376,'[1]Master File'!$A:$F,6,0)*$F376</f>
        <v>622.44000000000005</v>
      </c>
    </row>
    <row r="377" spans="1:9" x14ac:dyDescent="0.3">
      <c r="A377" s="6">
        <v>44711</v>
      </c>
      <c r="B377" s="6" t="s">
        <v>130</v>
      </c>
      <c r="C377" s="16">
        <v>30</v>
      </c>
      <c r="D377" s="6" t="s">
        <v>138</v>
      </c>
      <c r="E377" s="7" t="s">
        <v>78</v>
      </c>
      <c r="F377" s="8">
        <v>3</v>
      </c>
      <c r="G377" s="8" t="s">
        <v>117</v>
      </c>
      <c r="H377" s="8">
        <f>VLOOKUP(E377,'[1]Master File'!$A:$F,5,0)*F377</f>
        <v>285</v>
      </c>
      <c r="I377" s="8">
        <f>VLOOKUP($E377,'[1]Master File'!$A:$F,6,0)*$F377</f>
        <v>359.1</v>
      </c>
    </row>
    <row r="378" spans="1:9" x14ac:dyDescent="0.3">
      <c r="A378" s="6">
        <v>44715</v>
      </c>
      <c r="B378" s="6" t="s">
        <v>131</v>
      </c>
      <c r="C378" s="16">
        <v>3</v>
      </c>
      <c r="D378" s="6" t="s">
        <v>138</v>
      </c>
      <c r="E378" s="7" t="s">
        <v>24</v>
      </c>
      <c r="F378" s="8">
        <v>14</v>
      </c>
      <c r="G378" s="8" t="s">
        <v>115</v>
      </c>
      <c r="H378" s="8">
        <f>VLOOKUP(E378,'[1]Master File'!$A:$F,5,0)*F378</f>
        <v>1162</v>
      </c>
      <c r="I378" s="8">
        <f>VLOOKUP($E378,'[1]Master File'!$A:$F,6,0)*$F378</f>
        <v>1324.68</v>
      </c>
    </row>
    <row r="379" spans="1:9" x14ac:dyDescent="0.3">
      <c r="A379" s="6">
        <v>44722</v>
      </c>
      <c r="B379" s="6" t="s">
        <v>131</v>
      </c>
      <c r="C379" s="16">
        <v>10</v>
      </c>
      <c r="D379" s="6" t="s">
        <v>138</v>
      </c>
      <c r="E379" s="7" t="s">
        <v>68</v>
      </c>
      <c r="F379" s="8">
        <v>8</v>
      </c>
      <c r="G379" s="8" t="s">
        <v>115</v>
      </c>
      <c r="H379" s="8">
        <f>VLOOKUP(E379,'[1]Master File'!$A:$F,5,0)*F379</f>
        <v>296</v>
      </c>
      <c r="I379" s="8">
        <f>VLOOKUP($E379,'[1]Master File'!$A:$F,6,0)*$F379</f>
        <v>334.48</v>
      </c>
    </row>
    <row r="380" spans="1:9" x14ac:dyDescent="0.3">
      <c r="A380" s="6">
        <v>44723</v>
      </c>
      <c r="B380" s="6" t="s">
        <v>131</v>
      </c>
      <c r="C380" s="16">
        <v>11</v>
      </c>
      <c r="D380" s="6" t="s">
        <v>138</v>
      </c>
      <c r="E380" s="7" t="s">
        <v>91</v>
      </c>
      <c r="F380" s="8">
        <v>13</v>
      </c>
      <c r="G380" s="8" t="s">
        <v>117</v>
      </c>
      <c r="H380" s="8">
        <f>VLOOKUP(E380,'[1]Master File'!$A:$F,5,0)*F380</f>
        <v>481</v>
      </c>
      <c r="I380" s="8">
        <f>VLOOKUP($E380,'[1]Master File'!$A:$F,6,0)*$F380</f>
        <v>553.15</v>
      </c>
    </row>
    <row r="381" spans="1:9" x14ac:dyDescent="0.3">
      <c r="A381" s="6">
        <v>44723</v>
      </c>
      <c r="B381" s="6" t="s">
        <v>131</v>
      </c>
      <c r="C381" s="16">
        <v>11</v>
      </c>
      <c r="D381" s="6" t="s">
        <v>138</v>
      </c>
      <c r="E381" s="7" t="s">
        <v>53</v>
      </c>
      <c r="F381" s="8">
        <v>6</v>
      </c>
      <c r="G381" s="8" t="s">
        <v>115</v>
      </c>
      <c r="H381" s="8">
        <f>VLOOKUP(E381,'[1]Master File'!$A:$F,5,0)*F381</f>
        <v>756</v>
      </c>
      <c r="I381" s="8">
        <f>VLOOKUP($E381,'[1]Master File'!$A:$F,6,0)*$F381</f>
        <v>975.24</v>
      </c>
    </row>
    <row r="382" spans="1:9" x14ac:dyDescent="0.3">
      <c r="A382" s="6">
        <v>44725</v>
      </c>
      <c r="B382" s="6" t="s">
        <v>131</v>
      </c>
      <c r="C382" s="16">
        <v>13</v>
      </c>
      <c r="D382" s="6" t="s">
        <v>138</v>
      </c>
      <c r="E382" s="7" t="s">
        <v>63</v>
      </c>
      <c r="F382" s="8">
        <v>6</v>
      </c>
      <c r="G382" s="8" t="s">
        <v>117</v>
      </c>
      <c r="H382" s="8">
        <f>VLOOKUP(E382,'[1]Master File'!$A:$F,5,0)*F382</f>
        <v>108</v>
      </c>
      <c r="I382" s="8">
        <f>VLOOKUP($E382,'[1]Master File'!$A:$F,6,0)*$F382</f>
        <v>147.96</v>
      </c>
    </row>
    <row r="383" spans="1:9" x14ac:dyDescent="0.3">
      <c r="A383" s="6">
        <v>44727</v>
      </c>
      <c r="B383" s="6" t="s">
        <v>131</v>
      </c>
      <c r="C383" s="16">
        <v>15</v>
      </c>
      <c r="D383" s="6" t="s">
        <v>138</v>
      </c>
      <c r="E383" s="7" t="s">
        <v>97</v>
      </c>
      <c r="F383" s="8">
        <v>15</v>
      </c>
      <c r="G383" s="8" t="s">
        <v>115</v>
      </c>
      <c r="H383" s="8">
        <f>VLOOKUP(E383,'[1]Master File'!$A:$F,5,0)*F383</f>
        <v>1800</v>
      </c>
      <c r="I383" s="8">
        <f>VLOOKUP($E383,'[1]Master File'!$A:$F,6,0)*$F383</f>
        <v>2430</v>
      </c>
    </row>
    <row r="384" spans="1:9" x14ac:dyDescent="0.3">
      <c r="A384" s="6">
        <v>44728</v>
      </c>
      <c r="B384" s="6" t="s">
        <v>131</v>
      </c>
      <c r="C384" s="16">
        <v>16</v>
      </c>
      <c r="D384" s="6" t="s">
        <v>138</v>
      </c>
      <c r="E384" s="7" t="s">
        <v>70</v>
      </c>
      <c r="F384" s="8">
        <v>15</v>
      </c>
      <c r="G384" s="8" t="s">
        <v>117</v>
      </c>
      <c r="H384" s="8">
        <f>VLOOKUP(E384,'[1]Master File'!$A:$F,5,0)*F384</f>
        <v>705</v>
      </c>
      <c r="I384" s="8">
        <f>VLOOKUP($E384,'[1]Master File'!$A:$F,6,0)*$F384</f>
        <v>796.65</v>
      </c>
    </row>
    <row r="385" spans="1:9" x14ac:dyDescent="0.3">
      <c r="A385" s="6">
        <v>44731</v>
      </c>
      <c r="B385" s="6" t="s">
        <v>131</v>
      </c>
      <c r="C385" s="16">
        <v>19</v>
      </c>
      <c r="D385" s="6" t="s">
        <v>138</v>
      </c>
      <c r="E385" s="7" t="s">
        <v>10</v>
      </c>
      <c r="F385" s="8">
        <v>8</v>
      </c>
      <c r="G385" s="8" t="s">
        <v>117</v>
      </c>
      <c r="H385" s="8">
        <f>VLOOKUP(E385,'[1]Master File'!$A:$F,5,0)*F385</f>
        <v>840</v>
      </c>
      <c r="I385" s="8">
        <f>VLOOKUP($E385,'[1]Master File'!$A:$F,6,0)*$F385</f>
        <v>1142.4000000000001</v>
      </c>
    </row>
    <row r="386" spans="1:9" x14ac:dyDescent="0.3">
      <c r="A386" s="6">
        <v>44733</v>
      </c>
      <c r="B386" s="6" t="s">
        <v>131</v>
      </c>
      <c r="C386" s="16">
        <v>21</v>
      </c>
      <c r="D386" s="6" t="s">
        <v>138</v>
      </c>
      <c r="E386" s="7" t="s">
        <v>44</v>
      </c>
      <c r="F386" s="8">
        <v>14</v>
      </c>
      <c r="G386" s="8" t="s">
        <v>117</v>
      </c>
      <c r="H386" s="8">
        <f>VLOOKUP(E386,'[1]Master File'!$A:$F,5,0)*F386</f>
        <v>1876</v>
      </c>
      <c r="I386" s="8">
        <f>VLOOKUP($E386,'[1]Master File'!$A:$F,6,0)*$F386</f>
        <v>2194.92</v>
      </c>
    </row>
    <row r="387" spans="1:9" x14ac:dyDescent="0.3">
      <c r="A387" s="6">
        <v>44734</v>
      </c>
      <c r="B387" s="6" t="s">
        <v>131</v>
      </c>
      <c r="C387" s="16">
        <v>22</v>
      </c>
      <c r="D387" s="6" t="s">
        <v>138</v>
      </c>
      <c r="E387" s="7" t="s">
        <v>93</v>
      </c>
      <c r="F387" s="8">
        <v>10</v>
      </c>
      <c r="G387" s="8" t="s">
        <v>117</v>
      </c>
      <c r="H387" s="8">
        <f>VLOOKUP(E387,'[1]Master File'!$A:$F,5,0)*F387</f>
        <v>900</v>
      </c>
      <c r="I387" s="8">
        <f>VLOOKUP($E387,'[1]Master File'!$A:$F,6,0)*$F387</f>
        <v>1152</v>
      </c>
    </row>
    <row r="388" spans="1:9" x14ac:dyDescent="0.3">
      <c r="A388" s="6">
        <v>44734</v>
      </c>
      <c r="B388" s="6" t="s">
        <v>131</v>
      </c>
      <c r="C388" s="16">
        <v>22</v>
      </c>
      <c r="D388" s="6" t="s">
        <v>138</v>
      </c>
      <c r="E388" s="7" t="s">
        <v>6</v>
      </c>
      <c r="F388" s="8">
        <v>4</v>
      </c>
      <c r="G388" s="8" t="s">
        <v>117</v>
      </c>
      <c r="H388" s="8">
        <f>VLOOKUP(E388,'[1]Master File'!$A:$F,5,0)*F388</f>
        <v>392</v>
      </c>
      <c r="I388" s="8">
        <f>VLOOKUP($E388,'[1]Master File'!$A:$F,6,0)*$F388</f>
        <v>415.52</v>
      </c>
    </row>
    <row r="389" spans="1:9" x14ac:dyDescent="0.3">
      <c r="A389" s="6">
        <v>44735</v>
      </c>
      <c r="B389" s="6" t="s">
        <v>131</v>
      </c>
      <c r="C389" s="16">
        <v>23</v>
      </c>
      <c r="D389" s="6" t="s">
        <v>138</v>
      </c>
      <c r="E389" s="7" t="s">
        <v>14</v>
      </c>
      <c r="F389" s="8">
        <v>8</v>
      </c>
      <c r="G389" s="8" t="s">
        <v>115</v>
      </c>
      <c r="H389" s="8">
        <f>VLOOKUP(E389,'[1]Master File'!$A:$F,5,0)*F389</f>
        <v>352</v>
      </c>
      <c r="I389" s="8">
        <f>VLOOKUP($E389,'[1]Master File'!$A:$F,6,0)*$F389</f>
        <v>390.72</v>
      </c>
    </row>
    <row r="390" spans="1:9" x14ac:dyDescent="0.3">
      <c r="A390" s="6">
        <v>44736</v>
      </c>
      <c r="B390" s="6" t="s">
        <v>131</v>
      </c>
      <c r="C390" s="16">
        <v>24</v>
      </c>
      <c r="D390" s="6" t="s">
        <v>138</v>
      </c>
      <c r="E390" s="7" t="s">
        <v>46</v>
      </c>
      <c r="F390" s="8">
        <v>7</v>
      </c>
      <c r="G390" s="8" t="s">
        <v>117</v>
      </c>
      <c r="H390" s="8">
        <f>VLOOKUP(E390,'[1]Master File'!$A:$F,5,0)*F390</f>
        <v>259</v>
      </c>
      <c r="I390" s="8">
        <f>VLOOKUP($E390,'[1]Master File'!$A:$F,6,0)*$F390</f>
        <v>344.47</v>
      </c>
    </row>
    <row r="391" spans="1:9" x14ac:dyDescent="0.3">
      <c r="A391" s="6">
        <v>44737</v>
      </c>
      <c r="B391" s="6" t="s">
        <v>131</v>
      </c>
      <c r="C391" s="16">
        <v>25</v>
      </c>
      <c r="D391" s="6" t="s">
        <v>138</v>
      </c>
      <c r="E391" s="7" t="s">
        <v>34</v>
      </c>
      <c r="F391" s="8">
        <v>7</v>
      </c>
      <c r="G391" s="8" t="s">
        <v>115</v>
      </c>
      <c r="H391" s="8">
        <f>VLOOKUP(E391,'[1]Master File'!$A:$F,5,0)*F391</f>
        <v>511</v>
      </c>
      <c r="I391" s="8">
        <f>VLOOKUP($E391,'[1]Master File'!$A:$F,6,0)*$F391</f>
        <v>659.19</v>
      </c>
    </row>
    <row r="392" spans="1:9" x14ac:dyDescent="0.3">
      <c r="A392" s="6">
        <v>44738</v>
      </c>
      <c r="B392" s="6" t="s">
        <v>131</v>
      </c>
      <c r="C392" s="16">
        <v>26</v>
      </c>
      <c r="D392" s="6" t="s">
        <v>138</v>
      </c>
      <c r="E392" s="7" t="s">
        <v>80</v>
      </c>
      <c r="F392" s="8">
        <v>4</v>
      </c>
      <c r="G392" s="8" t="s">
        <v>117</v>
      </c>
      <c r="H392" s="8">
        <f>VLOOKUP(E392,'[1]Master File'!$A:$F,5,0)*F392</f>
        <v>220</v>
      </c>
      <c r="I392" s="8">
        <f>VLOOKUP($E392,'[1]Master File'!$A:$F,6,0)*$F392</f>
        <v>233.2</v>
      </c>
    </row>
    <row r="393" spans="1:9" x14ac:dyDescent="0.3">
      <c r="A393" s="6">
        <v>44738</v>
      </c>
      <c r="B393" s="6" t="s">
        <v>131</v>
      </c>
      <c r="C393" s="16">
        <v>26</v>
      </c>
      <c r="D393" s="6" t="s">
        <v>138</v>
      </c>
      <c r="E393" s="7" t="s">
        <v>99</v>
      </c>
      <c r="F393" s="8">
        <v>12</v>
      </c>
      <c r="G393" s="8" t="s">
        <v>115</v>
      </c>
      <c r="H393" s="8">
        <f>VLOOKUP(E393,'[1]Master File'!$A:$F,5,0)*F393</f>
        <v>804</v>
      </c>
      <c r="I393" s="8">
        <f>VLOOKUP($E393,'[1]Master File'!$A:$F,6,0)*$F393</f>
        <v>996.96</v>
      </c>
    </row>
    <row r="394" spans="1:9" x14ac:dyDescent="0.3">
      <c r="A394" s="6">
        <v>44745</v>
      </c>
      <c r="B394" s="6" t="s">
        <v>132</v>
      </c>
      <c r="C394" s="16">
        <v>3</v>
      </c>
      <c r="D394" s="6" t="s">
        <v>138</v>
      </c>
      <c r="E394" s="7" t="s">
        <v>78</v>
      </c>
      <c r="F394" s="8">
        <v>15</v>
      </c>
      <c r="G394" s="8" t="s">
        <v>117</v>
      </c>
      <c r="H394" s="8">
        <f>VLOOKUP(E394,'[1]Master File'!$A:$F,5,0)*F394</f>
        <v>1425</v>
      </c>
      <c r="I394" s="8">
        <f>VLOOKUP($E394,'[1]Master File'!$A:$F,6,0)*$F394</f>
        <v>1795.5</v>
      </c>
    </row>
    <row r="395" spans="1:9" x14ac:dyDescent="0.3">
      <c r="A395" s="6">
        <v>44746</v>
      </c>
      <c r="B395" s="6" t="s">
        <v>132</v>
      </c>
      <c r="C395" s="16">
        <v>4</v>
      </c>
      <c r="D395" s="6" t="s">
        <v>138</v>
      </c>
      <c r="E395" s="7" t="s">
        <v>22</v>
      </c>
      <c r="F395" s="8">
        <v>7</v>
      </c>
      <c r="G395" s="8" t="s">
        <v>115</v>
      </c>
      <c r="H395" s="8">
        <f>VLOOKUP(E395,'[1]Master File'!$A:$F,5,0)*F395</f>
        <v>301</v>
      </c>
      <c r="I395" s="8">
        <f>VLOOKUP($E395,'[1]Master File'!$A:$F,6,0)*$F395</f>
        <v>334.11</v>
      </c>
    </row>
    <row r="396" spans="1:9" x14ac:dyDescent="0.3">
      <c r="A396" s="6">
        <v>44747</v>
      </c>
      <c r="B396" s="6" t="s">
        <v>132</v>
      </c>
      <c r="C396" s="16">
        <v>5</v>
      </c>
      <c r="D396" s="6" t="s">
        <v>138</v>
      </c>
      <c r="E396" s="7" t="s">
        <v>61</v>
      </c>
      <c r="F396" s="8">
        <v>7</v>
      </c>
      <c r="G396" s="8" t="s">
        <v>117</v>
      </c>
      <c r="H396" s="8">
        <f>VLOOKUP(E396,'[1]Master File'!$A:$F,5,0)*F396</f>
        <v>49</v>
      </c>
      <c r="I396" s="8">
        <f>VLOOKUP($E396,'[1]Master File'!$A:$F,6,0)*$F396</f>
        <v>58.31</v>
      </c>
    </row>
    <row r="397" spans="1:9" x14ac:dyDescent="0.3">
      <c r="A397" s="6">
        <v>44747</v>
      </c>
      <c r="B397" s="6" t="s">
        <v>132</v>
      </c>
      <c r="C397" s="16">
        <v>5</v>
      </c>
      <c r="D397" s="6" t="s">
        <v>138</v>
      </c>
      <c r="E397" s="7" t="s">
        <v>40</v>
      </c>
      <c r="F397" s="8">
        <v>8</v>
      </c>
      <c r="G397" s="8" t="s">
        <v>115</v>
      </c>
      <c r="H397" s="8">
        <f>VLOOKUP(E397,'[1]Master File'!$A:$F,5,0)*F397</f>
        <v>96</v>
      </c>
      <c r="I397" s="8">
        <f>VLOOKUP($E397,'[1]Master File'!$A:$F,6,0)*$F397</f>
        <v>125.75999999999999</v>
      </c>
    </row>
    <row r="398" spans="1:9" x14ac:dyDescent="0.3">
      <c r="A398" s="6">
        <v>44748</v>
      </c>
      <c r="B398" s="6" t="s">
        <v>132</v>
      </c>
      <c r="C398" s="16">
        <v>6</v>
      </c>
      <c r="D398" s="6" t="s">
        <v>138</v>
      </c>
      <c r="E398" s="7" t="s">
        <v>95</v>
      </c>
      <c r="F398" s="8">
        <v>2</v>
      </c>
      <c r="G398" s="8" t="s">
        <v>117</v>
      </c>
      <c r="H398" s="8">
        <f>VLOOKUP(E398,'[1]Master File'!$A:$F,5,0)*F398</f>
        <v>276</v>
      </c>
      <c r="I398" s="8">
        <f>VLOOKUP($E398,'[1]Master File'!$A:$F,6,0)*$F398</f>
        <v>347.76</v>
      </c>
    </row>
    <row r="399" spans="1:9" x14ac:dyDescent="0.3">
      <c r="A399" s="6">
        <v>44750</v>
      </c>
      <c r="B399" s="6" t="s">
        <v>132</v>
      </c>
      <c r="C399" s="16">
        <v>8</v>
      </c>
      <c r="D399" s="6" t="s">
        <v>138</v>
      </c>
      <c r="E399" s="7" t="s">
        <v>46</v>
      </c>
      <c r="F399" s="8">
        <v>2</v>
      </c>
      <c r="G399" s="8" t="s">
        <v>115</v>
      </c>
      <c r="H399" s="8">
        <f>VLOOKUP(E399,'[1]Master File'!$A:$F,5,0)*F399</f>
        <v>74</v>
      </c>
      <c r="I399" s="8">
        <f>VLOOKUP($E399,'[1]Master File'!$A:$F,6,0)*$F399</f>
        <v>98.42</v>
      </c>
    </row>
    <row r="400" spans="1:9" x14ac:dyDescent="0.3">
      <c r="A400" s="6">
        <v>44752</v>
      </c>
      <c r="B400" s="6" t="s">
        <v>132</v>
      </c>
      <c r="C400" s="16">
        <v>10</v>
      </c>
      <c r="D400" s="6" t="s">
        <v>138</v>
      </c>
      <c r="E400" s="7" t="s">
        <v>76</v>
      </c>
      <c r="F400" s="8">
        <v>12</v>
      </c>
      <c r="G400" s="8" t="s">
        <v>117</v>
      </c>
      <c r="H400" s="8">
        <f>VLOOKUP(E400,'[1]Master File'!$A:$F,5,0)*F400</f>
        <v>1068</v>
      </c>
      <c r="I400" s="8">
        <f>VLOOKUP($E400,'[1]Master File'!$A:$F,6,0)*$F400</f>
        <v>1409.76</v>
      </c>
    </row>
    <row r="401" spans="1:9" x14ac:dyDescent="0.3">
      <c r="A401" s="6">
        <v>44754</v>
      </c>
      <c r="B401" s="6" t="s">
        <v>132</v>
      </c>
      <c r="C401" s="16">
        <v>12</v>
      </c>
      <c r="D401" s="6" t="s">
        <v>138</v>
      </c>
      <c r="E401" s="7" t="s">
        <v>68</v>
      </c>
      <c r="F401" s="8">
        <v>12</v>
      </c>
      <c r="G401" s="8" t="s">
        <v>117</v>
      </c>
      <c r="H401" s="8">
        <f>VLOOKUP(E401,'[1]Master File'!$A:$F,5,0)*F401</f>
        <v>444</v>
      </c>
      <c r="I401" s="8">
        <f>VLOOKUP($E401,'[1]Master File'!$A:$F,6,0)*$F401</f>
        <v>501.72</v>
      </c>
    </row>
    <row r="402" spans="1:9" x14ac:dyDescent="0.3">
      <c r="A402" s="6">
        <v>44755</v>
      </c>
      <c r="B402" s="6" t="s">
        <v>132</v>
      </c>
      <c r="C402" s="16">
        <v>13</v>
      </c>
      <c r="D402" s="6" t="s">
        <v>138</v>
      </c>
      <c r="E402" s="7" t="s">
        <v>61</v>
      </c>
      <c r="F402" s="8">
        <v>7</v>
      </c>
      <c r="G402" s="8" t="s">
        <v>115</v>
      </c>
      <c r="H402" s="8">
        <f>VLOOKUP(E402,'[1]Master File'!$A:$F,5,0)*F402</f>
        <v>49</v>
      </c>
      <c r="I402" s="8">
        <f>VLOOKUP($E402,'[1]Master File'!$A:$F,6,0)*$F402</f>
        <v>58.31</v>
      </c>
    </row>
    <row r="403" spans="1:9" x14ac:dyDescent="0.3">
      <c r="A403" s="6">
        <v>44756</v>
      </c>
      <c r="B403" s="6" t="s">
        <v>132</v>
      </c>
      <c r="C403" s="16">
        <v>14</v>
      </c>
      <c r="D403" s="6" t="s">
        <v>138</v>
      </c>
      <c r="E403" s="7" t="s">
        <v>78</v>
      </c>
      <c r="F403" s="8">
        <v>9</v>
      </c>
      <c r="G403" s="8" t="s">
        <v>115</v>
      </c>
      <c r="H403" s="8">
        <f>VLOOKUP(E403,'[1]Master File'!$A:$F,5,0)*F403</f>
        <v>855</v>
      </c>
      <c r="I403" s="8">
        <f>VLOOKUP($E403,'[1]Master File'!$A:$F,6,0)*$F403</f>
        <v>1077.3</v>
      </c>
    </row>
    <row r="404" spans="1:9" x14ac:dyDescent="0.3">
      <c r="A404" s="6">
        <v>44757</v>
      </c>
      <c r="B404" s="6" t="s">
        <v>132</v>
      </c>
      <c r="C404" s="16">
        <v>15</v>
      </c>
      <c r="D404" s="6" t="s">
        <v>138</v>
      </c>
      <c r="E404" s="7" t="s">
        <v>14</v>
      </c>
      <c r="F404" s="8">
        <v>2</v>
      </c>
      <c r="G404" s="8" t="s">
        <v>115</v>
      </c>
      <c r="H404" s="8">
        <f>VLOOKUP(E404,'[1]Master File'!$A:$F,5,0)*F404</f>
        <v>88</v>
      </c>
      <c r="I404" s="8">
        <f>VLOOKUP($E404,'[1]Master File'!$A:$F,6,0)*$F404</f>
        <v>97.68</v>
      </c>
    </row>
    <row r="405" spans="1:9" x14ac:dyDescent="0.3">
      <c r="A405" s="6">
        <v>44759</v>
      </c>
      <c r="B405" s="6" t="s">
        <v>132</v>
      </c>
      <c r="C405" s="16">
        <v>17</v>
      </c>
      <c r="D405" s="6" t="s">
        <v>138</v>
      </c>
      <c r="E405" s="7" t="s">
        <v>95</v>
      </c>
      <c r="F405" s="8">
        <v>8</v>
      </c>
      <c r="G405" s="8" t="s">
        <v>117</v>
      </c>
      <c r="H405" s="8">
        <f>VLOOKUP(E405,'[1]Master File'!$A:$F,5,0)*F405</f>
        <v>1104</v>
      </c>
      <c r="I405" s="8">
        <f>VLOOKUP($E405,'[1]Master File'!$A:$F,6,0)*$F405</f>
        <v>1391.04</v>
      </c>
    </row>
    <row r="406" spans="1:9" x14ac:dyDescent="0.3">
      <c r="A406" s="6">
        <v>44760</v>
      </c>
      <c r="B406" s="6" t="s">
        <v>132</v>
      </c>
      <c r="C406" s="16">
        <v>18</v>
      </c>
      <c r="D406" s="6" t="s">
        <v>138</v>
      </c>
      <c r="E406" s="7" t="s">
        <v>29</v>
      </c>
      <c r="F406" s="8">
        <v>12</v>
      </c>
      <c r="G406" s="8" t="s">
        <v>115</v>
      </c>
      <c r="H406" s="8">
        <f>VLOOKUP(E406,'[1]Master File'!$A:$F,5,0)*F406</f>
        <v>1776</v>
      </c>
      <c r="I406" s="8">
        <f>VLOOKUP($E406,'[1]Master File'!$A:$F,6,0)*$F406</f>
        <v>1971.3600000000001</v>
      </c>
    </row>
    <row r="407" spans="1:9" x14ac:dyDescent="0.3">
      <c r="A407" s="6">
        <v>44762</v>
      </c>
      <c r="B407" s="6" t="s">
        <v>132</v>
      </c>
      <c r="C407" s="16">
        <v>20</v>
      </c>
      <c r="D407" s="6" t="s">
        <v>138</v>
      </c>
      <c r="E407" s="7" t="s">
        <v>97</v>
      </c>
      <c r="F407" s="8">
        <v>8</v>
      </c>
      <c r="G407" s="8" t="s">
        <v>115</v>
      </c>
      <c r="H407" s="8">
        <f>VLOOKUP(E407,'[1]Master File'!$A:$F,5,0)*F407</f>
        <v>960</v>
      </c>
      <c r="I407" s="8">
        <f>VLOOKUP($E407,'[1]Master File'!$A:$F,6,0)*$F407</f>
        <v>1296</v>
      </c>
    </row>
    <row r="408" spans="1:9" x14ac:dyDescent="0.3">
      <c r="A408" s="6">
        <v>44764</v>
      </c>
      <c r="B408" s="6" t="s">
        <v>132</v>
      </c>
      <c r="C408" s="16">
        <v>22</v>
      </c>
      <c r="D408" s="6" t="s">
        <v>138</v>
      </c>
      <c r="E408" s="7" t="s">
        <v>80</v>
      </c>
      <c r="F408" s="8">
        <v>6</v>
      </c>
      <c r="G408" s="8" t="s">
        <v>117</v>
      </c>
      <c r="H408" s="8">
        <f>VLOOKUP(E408,'[1]Master File'!$A:$F,5,0)*F408</f>
        <v>330</v>
      </c>
      <c r="I408" s="8">
        <f>VLOOKUP($E408,'[1]Master File'!$A:$F,6,0)*$F408</f>
        <v>349.79999999999995</v>
      </c>
    </row>
    <row r="409" spans="1:9" x14ac:dyDescent="0.3">
      <c r="A409" s="6">
        <v>44765</v>
      </c>
      <c r="B409" s="6" t="s">
        <v>132</v>
      </c>
      <c r="C409" s="16">
        <v>23</v>
      </c>
      <c r="D409" s="6" t="s">
        <v>138</v>
      </c>
      <c r="E409" s="7" t="s">
        <v>46</v>
      </c>
      <c r="F409" s="8">
        <v>2</v>
      </c>
      <c r="G409" s="8" t="s">
        <v>115</v>
      </c>
      <c r="H409" s="8">
        <f>VLOOKUP(E409,'[1]Master File'!$A:$F,5,0)*F409</f>
        <v>74</v>
      </c>
      <c r="I409" s="8">
        <f>VLOOKUP($E409,'[1]Master File'!$A:$F,6,0)*$F409</f>
        <v>98.42</v>
      </c>
    </row>
    <row r="410" spans="1:9" x14ac:dyDescent="0.3">
      <c r="A410" s="6">
        <v>44766</v>
      </c>
      <c r="B410" s="6" t="s">
        <v>132</v>
      </c>
      <c r="C410" s="16">
        <v>24</v>
      </c>
      <c r="D410" s="6" t="s">
        <v>138</v>
      </c>
      <c r="E410" s="7" t="s">
        <v>20</v>
      </c>
      <c r="F410" s="8">
        <v>14</v>
      </c>
      <c r="G410" s="8" t="s">
        <v>117</v>
      </c>
      <c r="H410" s="8">
        <f>VLOOKUP(E410,'[1]Master File'!$A:$F,5,0)*F410</f>
        <v>1050</v>
      </c>
      <c r="I410" s="8">
        <f>VLOOKUP($E410,'[1]Master File'!$A:$F,6,0)*$F410</f>
        <v>1197</v>
      </c>
    </row>
    <row r="411" spans="1:9" x14ac:dyDescent="0.3">
      <c r="A411" s="6">
        <v>44766</v>
      </c>
      <c r="B411" s="6" t="s">
        <v>132</v>
      </c>
      <c r="C411" s="16">
        <v>24</v>
      </c>
      <c r="D411" s="6" t="s">
        <v>138</v>
      </c>
      <c r="E411" s="7" t="s">
        <v>66</v>
      </c>
      <c r="F411" s="8">
        <v>1</v>
      </c>
      <c r="G411" s="8" t="s">
        <v>115</v>
      </c>
      <c r="H411" s="8">
        <f>VLOOKUP(E411,'[1]Master File'!$A:$F,5,0)*F411</f>
        <v>48</v>
      </c>
      <c r="I411" s="8">
        <f>VLOOKUP($E411,'[1]Master File'!$A:$F,6,0)*$F411</f>
        <v>57.120000000000005</v>
      </c>
    </row>
    <row r="412" spans="1:9" x14ac:dyDescent="0.3">
      <c r="A412" s="6">
        <v>44767</v>
      </c>
      <c r="B412" s="6" t="s">
        <v>132</v>
      </c>
      <c r="C412" s="16">
        <v>25</v>
      </c>
      <c r="D412" s="6" t="s">
        <v>138</v>
      </c>
      <c r="E412" s="7" t="s">
        <v>101</v>
      </c>
      <c r="F412" s="8">
        <v>2</v>
      </c>
      <c r="G412" s="8" t="s">
        <v>117</v>
      </c>
      <c r="H412" s="8">
        <f>VLOOKUP(E412,'[1]Master File'!$A:$F,5,0)*F412</f>
        <v>152</v>
      </c>
      <c r="I412" s="8">
        <f>VLOOKUP($E412,'[1]Master File'!$A:$F,6,0)*$F412</f>
        <v>164.16</v>
      </c>
    </row>
    <row r="413" spans="1:9" x14ac:dyDescent="0.3">
      <c r="A413" s="6">
        <v>44767</v>
      </c>
      <c r="B413" s="6" t="s">
        <v>132</v>
      </c>
      <c r="C413" s="16">
        <v>25</v>
      </c>
      <c r="D413" s="6" t="s">
        <v>138</v>
      </c>
      <c r="E413" s="7" t="s">
        <v>44</v>
      </c>
      <c r="F413" s="8">
        <v>12</v>
      </c>
      <c r="G413" s="8" t="s">
        <v>117</v>
      </c>
      <c r="H413" s="8">
        <f>VLOOKUP(E413,'[1]Master File'!$A:$F,5,0)*F413</f>
        <v>1608</v>
      </c>
      <c r="I413" s="8">
        <f>VLOOKUP($E413,'[1]Master File'!$A:$F,6,0)*$F413</f>
        <v>1881.3600000000001</v>
      </c>
    </row>
    <row r="414" spans="1:9" x14ac:dyDescent="0.3">
      <c r="A414" s="6">
        <v>44767</v>
      </c>
      <c r="B414" s="6" t="s">
        <v>132</v>
      </c>
      <c r="C414" s="16">
        <v>25</v>
      </c>
      <c r="D414" s="6" t="s">
        <v>138</v>
      </c>
      <c r="E414" s="7" t="s">
        <v>12</v>
      </c>
      <c r="F414" s="8">
        <v>13</v>
      </c>
      <c r="G414" s="8" t="s">
        <v>117</v>
      </c>
      <c r="H414" s="8">
        <f>VLOOKUP(E414,'[1]Master File'!$A:$F,5,0)*F414</f>
        <v>923</v>
      </c>
      <c r="I414" s="8">
        <f>VLOOKUP($E414,'[1]Master File'!$A:$F,6,0)*$F414</f>
        <v>1052.22</v>
      </c>
    </row>
    <row r="415" spans="1:9" x14ac:dyDescent="0.3">
      <c r="A415" s="6">
        <v>44768</v>
      </c>
      <c r="B415" s="6" t="s">
        <v>132</v>
      </c>
      <c r="C415" s="16">
        <v>26</v>
      </c>
      <c r="D415" s="6" t="s">
        <v>138</v>
      </c>
      <c r="E415" s="7" t="s">
        <v>12</v>
      </c>
      <c r="F415" s="8">
        <v>10</v>
      </c>
      <c r="G415" s="8" t="s">
        <v>115</v>
      </c>
      <c r="H415" s="8">
        <f>VLOOKUP(E415,'[1]Master File'!$A:$F,5,0)*F415</f>
        <v>710</v>
      </c>
      <c r="I415" s="8">
        <f>VLOOKUP($E415,'[1]Master File'!$A:$F,6,0)*$F415</f>
        <v>809.4</v>
      </c>
    </row>
    <row r="416" spans="1:9" x14ac:dyDescent="0.3">
      <c r="A416" s="6">
        <v>44768</v>
      </c>
      <c r="B416" s="6" t="s">
        <v>132</v>
      </c>
      <c r="C416" s="16">
        <v>26</v>
      </c>
      <c r="D416" s="6" t="s">
        <v>138</v>
      </c>
      <c r="E416" s="7" t="s">
        <v>63</v>
      </c>
      <c r="F416" s="8">
        <v>1</v>
      </c>
      <c r="G416" s="8" t="s">
        <v>117</v>
      </c>
      <c r="H416" s="8">
        <f>VLOOKUP(E416,'[1]Master File'!$A:$F,5,0)*F416</f>
        <v>18</v>
      </c>
      <c r="I416" s="8">
        <f>VLOOKUP($E416,'[1]Master File'!$A:$F,6,0)*$F416</f>
        <v>24.66</v>
      </c>
    </row>
    <row r="417" spans="1:9" x14ac:dyDescent="0.3">
      <c r="A417" s="6">
        <v>44776</v>
      </c>
      <c r="B417" s="6" t="s">
        <v>133</v>
      </c>
      <c r="C417" s="16">
        <v>3</v>
      </c>
      <c r="D417" s="6" t="s">
        <v>138</v>
      </c>
      <c r="E417" s="7" t="s">
        <v>34</v>
      </c>
      <c r="F417" s="8">
        <v>5</v>
      </c>
      <c r="G417" s="8" t="s">
        <v>117</v>
      </c>
      <c r="H417" s="8">
        <f>VLOOKUP(E417,'[1]Master File'!$A:$F,5,0)*F417</f>
        <v>365</v>
      </c>
      <c r="I417" s="8">
        <f>VLOOKUP($E417,'[1]Master File'!$A:$F,6,0)*$F417</f>
        <v>470.85</v>
      </c>
    </row>
    <row r="418" spans="1:9" x14ac:dyDescent="0.3">
      <c r="A418" s="6">
        <v>44779</v>
      </c>
      <c r="B418" s="6" t="s">
        <v>133</v>
      </c>
      <c r="C418" s="16">
        <v>6</v>
      </c>
      <c r="D418" s="6" t="s">
        <v>138</v>
      </c>
      <c r="E418" s="7" t="s">
        <v>42</v>
      </c>
      <c r="F418" s="8">
        <v>9</v>
      </c>
      <c r="G418" s="8" t="s">
        <v>115</v>
      </c>
      <c r="H418" s="8">
        <f>VLOOKUP(E418,'[1]Master File'!$A:$F,5,0)*F418</f>
        <v>117</v>
      </c>
      <c r="I418" s="8">
        <f>VLOOKUP($E418,'[1]Master File'!$A:$F,6,0)*$F418</f>
        <v>149.76</v>
      </c>
    </row>
    <row r="419" spans="1:9" x14ac:dyDescent="0.3">
      <c r="A419" s="6">
        <v>44781</v>
      </c>
      <c r="B419" s="6" t="s">
        <v>133</v>
      </c>
      <c r="C419" s="16">
        <v>8</v>
      </c>
      <c r="D419" s="6" t="s">
        <v>138</v>
      </c>
      <c r="E419" s="7" t="s">
        <v>42</v>
      </c>
      <c r="F419" s="8">
        <v>2</v>
      </c>
      <c r="G419" s="8" t="s">
        <v>115</v>
      </c>
      <c r="H419" s="8">
        <f>VLOOKUP(E419,'[1]Master File'!$A:$F,5,0)*F419</f>
        <v>26</v>
      </c>
      <c r="I419" s="8">
        <f>VLOOKUP($E419,'[1]Master File'!$A:$F,6,0)*$F419</f>
        <v>33.28</v>
      </c>
    </row>
    <row r="420" spans="1:9" x14ac:dyDescent="0.3">
      <c r="A420" s="6">
        <v>44781</v>
      </c>
      <c r="B420" s="6" t="s">
        <v>133</v>
      </c>
      <c r="C420" s="16">
        <v>8</v>
      </c>
      <c r="D420" s="6" t="s">
        <v>138</v>
      </c>
      <c r="E420" s="7" t="s">
        <v>76</v>
      </c>
      <c r="F420" s="8">
        <v>12</v>
      </c>
      <c r="G420" s="8" t="s">
        <v>117</v>
      </c>
      <c r="H420" s="8">
        <f>VLOOKUP(E420,'[1]Master File'!$A:$F,5,0)*F420</f>
        <v>1068</v>
      </c>
      <c r="I420" s="8">
        <f>VLOOKUP($E420,'[1]Master File'!$A:$F,6,0)*$F420</f>
        <v>1409.76</v>
      </c>
    </row>
    <row r="421" spans="1:9" x14ac:dyDescent="0.3">
      <c r="A421" s="6">
        <v>44781</v>
      </c>
      <c r="B421" s="6" t="s">
        <v>133</v>
      </c>
      <c r="C421" s="16">
        <v>8</v>
      </c>
      <c r="D421" s="6" t="s">
        <v>138</v>
      </c>
      <c r="E421" s="7" t="s">
        <v>53</v>
      </c>
      <c r="F421" s="8">
        <v>11</v>
      </c>
      <c r="G421" s="8" t="s">
        <v>117</v>
      </c>
      <c r="H421" s="8">
        <f>VLOOKUP(E421,'[1]Master File'!$A:$F,5,0)*F421</f>
        <v>1386</v>
      </c>
      <c r="I421" s="8">
        <f>VLOOKUP($E421,'[1]Master File'!$A:$F,6,0)*$F421</f>
        <v>1787.9399999999998</v>
      </c>
    </row>
    <row r="422" spans="1:9" x14ac:dyDescent="0.3">
      <c r="A422" s="6">
        <v>44787</v>
      </c>
      <c r="B422" s="6" t="s">
        <v>133</v>
      </c>
      <c r="C422" s="16">
        <v>14</v>
      </c>
      <c r="D422" s="6" t="s">
        <v>138</v>
      </c>
      <c r="E422" s="7" t="s">
        <v>72</v>
      </c>
      <c r="F422" s="8">
        <v>14</v>
      </c>
      <c r="G422" s="8" t="s">
        <v>117</v>
      </c>
      <c r="H422" s="8">
        <f>VLOOKUP(E422,'[1]Master File'!$A:$F,5,0)*F422</f>
        <v>2072</v>
      </c>
      <c r="I422" s="8">
        <f>VLOOKUP($E422,'[1]Master File'!$A:$F,6,0)*$F422</f>
        <v>2817.92</v>
      </c>
    </row>
    <row r="423" spans="1:9" x14ac:dyDescent="0.3">
      <c r="A423" s="6">
        <v>44788</v>
      </c>
      <c r="B423" s="6" t="s">
        <v>133</v>
      </c>
      <c r="C423" s="16">
        <v>15</v>
      </c>
      <c r="D423" s="6" t="s">
        <v>138</v>
      </c>
      <c r="E423" s="7" t="s">
        <v>32</v>
      </c>
      <c r="F423" s="8">
        <v>10</v>
      </c>
      <c r="G423" s="8" t="s">
        <v>117</v>
      </c>
      <c r="H423" s="8">
        <f>VLOOKUP(E423,'[1]Master File'!$A:$F,5,0)*F423</f>
        <v>440</v>
      </c>
      <c r="I423" s="8">
        <f>VLOOKUP($E423,'[1]Master File'!$A:$F,6,0)*$F423</f>
        <v>484</v>
      </c>
    </row>
    <row r="424" spans="1:9" x14ac:dyDescent="0.3">
      <c r="A424" s="6">
        <v>44788</v>
      </c>
      <c r="B424" s="6" t="s">
        <v>133</v>
      </c>
      <c r="C424" s="16">
        <v>15</v>
      </c>
      <c r="D424" s="6" t="s">
        <v>138</v>
      </c>
      <c r="E424" s="7" t="s">
        <v>40</v>
      </c>
      <c r="F424" s="8">
        <v>7</v>
      </c>
      <c r="G424" s="8" t="s">
        <v>115</v>
      </c>
      <c r="H424" s="8">
        <f>VLOOKUP(E424,'[1]Master File'!$A:$F,5,0)*F424</f>
        <v>84</v>
      </c>
      <c r="I424" s="8">
        <f>VLOOKUP($E424,'[1]Master File'!$A:$F,6,0)*$F424</f>
        <v>110.03999999999999</v>
      </c>
    </row>
    <row r="425" spans="1:9" x14ac:dyDescent="0.3">
      <c r="A425" s="6">
        <v>44791</v>
      </c>
      <c r="B425" s="6" t="s">
        <v>133</v>
      </c>
      <c r="C425" s="16">
        <v>18</v>
      </c>
      <c r="D425" s="6" t="s">
        <v>138</v>
      </c>
      <c r="E425" s="7" t="s">
        <v>70</v>
      </c>
      <c r="F425" s="8">
        <v>8</v>
      </c>
      <c r="G425" s="8" t="s">
        <v>115</v>
      </c>
      <c r="H425" s="8">
        <f>VLOOKUP(E425,'[1]Master File'!$A:$F,5,0)*F425</f>
        <v>376</v>
      </c>
      <c r="I425" s="8">
        <f>VLOOKUP($E425,'[1]Master File'!$A:$F,6,0)*$F425</f>
        <v>424.88</v>
      </c>
    </row>
    <row r="426" spans="1:9" x14ac:dyDescent="0.3">
      <c r="A426" s="6">
        <v>44791</v>
      </c>
      <c r="B426" s="6" t="s">
        <v>133</v>
      </c>
      <c r="C426" s="16">
        <v>18</v>
      </c>
      <c r="D426" s="6" t="s">
        <v>138</v>
      </c>
      <c r="E426" s="7" t="s">
        <v>29</v>
      </c>
      <c r="F426" s="8">
        <v>2</v>
      </c>
      <c r="G426" s="8" t="s">
        <v>117</v>
      </c>
      <c r="H426" s="8">
        <f>VLOOKUP(E426,'[1]Master File'!$A:$F,5,0)*F426</f>
        <v>296</v>
      </c>
      <c r="I426" s="8">
        <f>VLOOKUP($E426,'[1]Master File'!$A:$F,6,0)*$F426</f>
        <v>328.56</v>
      </c>
    </row>
    <row r="427" spans="1:9" x14ac:dyDescent="0.3">
      <c r="A427" s="6">
        <v>44792</v>
      </c>
      <c r="B427" s="6" t="s">
        <v>133</v>
      </c>
      <c r="C427" s="16">
        <v>19</v>
      </c>
      <c r="D427" s="6" t="s">
        <v>138</v>
      </c>
      <c r="E427" s="7" t="s">
        <v>22</v>
      </c>
      <c r="F427" s="8">
        <v>3</v>
      </c>
      <c r="G427" s="8" t="s">
        <v>115</v>
      </c>
      <c r="H427" s="8">
        <f>VLOOKUP(E427,'[1]Master File'!$A:$F,5,0)*F427</f>
        <v>129</v>
      </c>
      <c r="I427" s="8">
        <f>VLOOKUP($E427,'[1]Master File'!$A:$F,6,0)*$F427</f>
        <v>143.19</v>
      </c>
    </row>
    <row r="428" spans="1:9" x14ac:dyDescent="0.3">
      <c r="A428" s="6">
        <v>44793</v>
      </c>
      <c r="B428" s="6" t="s">
        <v>133</v>
      </c>
      <c r="C428" s="16">
        <v>20</v>
      </c>
      <c r="D428" s="6" t="s">
        <v>138</v>
      </c>
      <c r="E428" s="7" t="s">
        <v>57</v>
      </c>
      <c r="F428" s="8">
        <v>13</v>
      </c>
      <c r="G428" s="8" t="s">
        <v>115</v>
      </c>
      <c r="H428" s="8">
        <f>VLOOKUP(E428,'[1]Master File'!$A:$F,5,0)*F428</f>
        <v>1833</v>
      </c>
      <c r="I428" s="8">
        <f>VLOOKUP($E428,'[1]Master File'!$A:$F,6,0)*$F428</f>
        <v>1942.98</v>
      </c>
    </row>
    <row r="429" spans="1:9" x14ac:dyDescent="0.3">
      <c r="A429" s="6">
        <v>44793</v>
      </c>
      <c r="B429" s="6" t="s">
        <v>133</v>
      </c>
      <c r="C429" s="16">
        <v>20</v>
      </c>
      <c r="D429" s="6" t="s">
        <v>138</v>
      </c>
      <c r="E429" s="7" t="s">
        <v>78</v>
      </c>
      <c r="F429" s="8">
        <v>14</v>
      </c>
      <c r="G429" s="8" t="s">
        <v>115</v>
      </c>
      <c r="H429" s="8">
        <f>VLOOKUP(E429,'[1]Master File'!$A:$F,5,0)*F429</f>
        <v>1330</v>
      </c>
      <c r="I429" s="8">
        <f>VLOOKUP($E429,'[1]Master File'!$A:$F,6,0)*$F429</f>
        <v>1675.8</v>
      </c>
    </row>
    <row r="430" spans="1:9" x14ac:dyDescent="0.3">
      <c r="A430" s="6">
        <v>44794</v>
      </c>
      <c r="B430" s="6" t="s">
        <v>133</v>
      </c>
      <c r="C430" s="16">
        <v>21</v>
      </c>
      <c r="D430" s="6" t="s">
        <v>138</v>
      </c>
      <c r="E430" s="7" t="s">
        <v>42</v>
      </c>
      <c r="F430" s="8">
        <v>4</v>
      </c>
      <c r="G430" s="8" t="s">
        <v>115</v>
      </c>
      <c r="H430" s="8">
        <f>VLOOKUP(E430,'[1]Master File'!$A:$F,5,0)*F430</f>
        <v>52</v>
      </c>
      <c r="I430" s="8">
        <f>VLOOKUP($E430,'[1]Master File'!$A:$F,6,0)*$F430</f>
        <v>66.56</v>
      </c>
    </row>
    <row r="431" spans="1:9" x14ac:dyDescent="0.3">
      <c r="A431" s="6">
        <v>44796</v>
      </c>
      <c r="B431" s="6" t="s">
        <v>133</v>
      </c>
      <c r="C431" s="16">
        <v>23</v>
      </c>
      <c r="D431" s="6" t="s">
        <v>138</v>
      </c>
      <c r="E431" s="7" t="s">
        <v>101</v>
      </c>
      <c r="F431" s="8">
        <v>11</v>
      </c>
      <c r="G431" s="8" t="s">
        <v>115</v>
      </c>
      <c r="H431" s="8">
        <f>VLOOKUP(E431,'[1]Master File'!$A:$F,5,0)*F431</f>
        <v>836</v>
      </c>
      <c r="I431" s="8">
        <f>VLOOKUP($E431,'[1]Master File'!$A:$F,6,0)*$F431</f>
        <v>902.88</v>
      </c>
    </row>
    <row r="432" spans="1:9" x14ac:dyDescent="0.3">
      <c r="A432" s="6">
        <v>44796</v>
      </c>
      <c r="B432" s="6" t="s">
        <v>133</v>
      </c>
      <c r="C432" s="16">
        <v>23</v>
      </c>
      <c r="D432" s="6" t="s">
        <v>138</v>
      </c>
      <c r="E432" s="7" t="s">
        <v>70</v>
      </c>
      <c r="F432" s="8">
        <v>14</v>
      </c>
      <c r="G432" s="8" t="s">
        <v>117</v>
      </c>
      <c r="H432" s="8">
        <f>VLOOKUP(E432,'[1]Master File'!$A:$F,5,0)*F432</f>
        <v>658</v>
      </c>
      <c r="I432" s="8">
        <f>VLOOKUP($E432,'[1]Master File'!$A:$F,6,0)*$F432</f>
        <v>743.54</v>
      </c>
    </row>
    <row r="433" spans="1:9" x14ac:dyDescent="0.3">
      <c r="A433" s="6">
        <v>44797</v>
      </c>
      <c r="B433" s="6" t="s">
        <v>133</v>
      </c>
      <c r="C433" s="16">
        <v>24</v>
      </c>
      <c r="D433" s="6" t="s">
        <v>138</v>
      </c>
      <c r="E433" s="7" t="s">
        <v>17</v>
      </c>
      <c r="F433" s="8">
        <v>5</v>
      </c>
      <c r="G433" s="8" t="s">
        <v>117</v>
      </c>
      <c r="H433" s="8">
        <f>VLOOKUP(E433,'[1]Master File'!$A:$F,5,0)*F433</f>
        <v>665</v>
      </c>
      <c r="I433" s="8">
        <f>VLOOKUP($E433,'[1]Master File'!$A:$F,6,0)*$F433</f>
        <v>778.05000000000007</v>
      </c>
    </row>
    <row r="434" spans="1:9" x14ac:dyDescent="0.3">
      <c r="A434" s="6">
        <v>44799</v>
      </c>
      <c r="B434" s="6" t="s">
        <v>133</v>
      </c>
      <c r="C434" s="16">
        <v>26</v>
      </c>
      <c r="D434" s="6" t="s">
        <v>138</v>
      </c>
      <c r="E434" s="7" t="s">
        <v>48</v>
      </c>
      <c r="F434" s="8">
        <v>13</v>
      </c>
      <c r="G434" s="8" t="s">
        <v>117</v>
      </c>
      <c r="H434" s="8">
        <f>VLOOKUP(E434,'[1]Master File'!$A:$F,5,0)*F434</f>
        <v>1950</v>
      </c>
      <c r="I434" s="8">
        <f>VLOOKUP($E434,'[1]Master File'!$A:$F,6,0)*$F434</f>
        <v>2730</v>
      </c>
    </row>
    <row r="435" spans="1:9" x14ac:dyDescent="0.3">
      <c r="A435" s="6">
        <v>44799</v>
      </c>
      <c r="B435" s="6" t="s">
        <v>133</v>
      </c>
      <c r="C435" s="16">
        <v>26</v>
      </c>
      <c r="D435" s="6" t="s">
        <v>138</v>
      </c>
      <c r="E435" s="7" t="s">
        <v>86</v>
      </c>
      <c r="F435" s="8">
        <v>8</v>
      </c>
      <c r="G435" s="8" t="s">
        <v>115</v>
      </c>
      <c r="H435" s="8">
        <f>VLOOKUP(E435,'[1]Master File'!$A:$F,5,0)*F435</f>
        <v>536</v>
      </c>
      <c r="I435" s="8">
        <f>VLOOKUP($E435,'[1]Master File'!$A:$F,6,0)*$F435</f>
        <v>686.08</v>
      </c>
    </row>
    <row r="436" spans="1:9" x14ac:dyDescent="0.3">
      <c r="A436" s="6">
        <v>44800</v>
      </c>
      <c r="B436" s="6" t="s">
        <v>133</v>
      </c>
      <c r="C436" s="16">
        <v>27</v>
      </c>
      <c r="D436" s="6" t="s">
        <v>138</v>
      </c>
      <c r="E436" s="7" t="s">
        <v>91</v>
      </c>
      <c r="F436" s="8">
        <v>15</v>
      </c>
      <c r="G436" s="8" t="s">
        <v>115</v>
      </c>
      <c r="H436" s="8">
        <f>VLOOKUP(E436,'[1]Master File'!$A:$F,5,0)*F436</f>
        <v>555</v>
      </c>
      <c r="I436" s="8">
        <f>VLOOKUP($E436,'[1]Master File'!$A:$F,6,0)*$F436</f>
        <v>638.25</v>
      </c>
    </row>
    <row r="437" spans="1:9" x14ac:dyDescent="0.3">
      <c r="A437" s="6">
        <v>44801</v>
      </c>
      <c r="B437" s="6" t="s">
        <v>133</v>
      </c>
      <c r="C437" s="16">
        <v>28</v>
      </c>
      <c r="D437" s="6" t="s">
        <v>138</v>
      </c>
      <c r="E437" s="7" t="s">
        <v>17</v>
      </c>
      <c r="F437" s="8">
        <v>9</v>
      </c>
      <c r="G437" s="8" t="s">
        <v>115</v>
      </c>
      <c r="H437" s="8">
        <f>VLOOKUP(E437,'[1]Master File'!$A:$F,5,0)*F437</f>
        <v>1197</v>
      </c>
      <c r="I437" s="8">
        <f>VLOOKUP($E437,'[1]Master File'!$A:$F,6,0)*$F437</f>
        <v>1400.4900000000002</v>
      </c>
    </row>
    <row r="438" spans="1:9" x14ac:dyDescent="0.3">
      <c r="A438" s="6">
        <v>44801</v>
      </c>
      <c r="B438" s="6" t="s">
        <v>133</v>
      </c>
      <c r="C438" s="16">
        <v>28</v>
      </c>
      <c r="D438" s="6" t="s">
        <v>138</v>
      </c>
      <c r="E438" s="7" t="s">
        <v>91</v>
      </c>
      <c r="F438" s="8">
        <v>5</v>
      </c>
      <c r="G438" s="8" t="s">
        <v>115</v>
      </c>
      <c r="H438" s="8">
        <f>VLOOKUP(E438,'[1]Master File'!$A:$F,5,0)*F438</f>
        <v>185</v>
      </c>
      <c r="I438" s="8">
        <f>VLOOKUP($E438,'[1]Master File'!$A:$F,6,0)*$F438</f>
        <v>212.75</v>
      </c>
    </row>
    <row r="439" spans="1:9" x14ac:dyDescent="0.3">
      <c r="A439" s="6">
        <v>44803</v>
      </c>
      <c r="B439" s="6" t="s">
        <v>133</v>
      </c>
      <c r="C439" s="16">
        <v>30</v>
      </c>
      <c r="D439" s="6" t="s">
        <v>138</v>
      </c>
      <c r="E439" s="7" t="s">
        <v>20</v>
      </c>
      <c r="F439" s="8">
        <v>6</v>
      </c>
      <c r="G439" s="8" t="s">
        <v>117</v>
      </c>
      <c r="H439" s="8">
        <f>VLOOKUP(E439,'[1]Master File'!$A:$F,5,0)*F439</f>
        <v>450</v>
      </c>
      <c r="I439" s="8">
        <f>VLOOKUP($E439,'[1]Master File'!$A:$F,6,0)*$F439</f>
        <v>513</v>
      </c>
    </row>
    <row r="440" spans="1:9" x14ac:dyDescent="0.3">
      <c r="A440" s="6">
        <v>44803</v>
      </c>
      <c r="B440" s="6" t="s">
        <v>133</v>
      </c>
      <c r="C440" s="16">
        <v>30</v>
      </c>
      <c r="D440" s="6" t="s">
        <v>138</v>
      </c>
      <c r="E440" s="7" t="s">
        <v>99</v>
      </c>
      <c r="F440" s="8">
        <v>6</v>
      </c>
      <c r="G440" s="8" t="s">
        <v>117</v>
      </c>
      <c r="H440" s="8">
        <f>VLOOKUP(E440,'[1]Master File'!$A:$F,5,0)*F440</f>
        <v>402</v>
      </c>
      <c r="I440" s="8">
        <f>VLOOKUP($E440,'[1]Master File'!$A:$F,6,0)*$F440</f>
        <v>498.48</v>
      </c>
    </row>
    <row r="441" spans="1:9" x14ac:dyDescent="0.3">
      <c r="A441" s="6">
        <v>44803</v>
      </c>
      <c r="B441" s="6" t="s">
        <v>133</v>
      </c>
      <c r="C441" s="16">
        <v>30</v>
      </c>
      <c r="D441" s="6" t="s">
        <v>138</v>
      </c>
      <c r="E441" s="7" t="s">
        <v>61</v>
      </c>
      <c r="F441" s="8">
        <v>5</v>
      </c>
      <c r="G441" s="8" t="s">
        <v>117</v>
      </c>
      <c r="H441" s="8">
        <f>VLOOKUP(E441,'[1]Master File'!$A:$F,5,0)*F441</f>
        <v>35</v>
      </c>
      <c r="I441" s="8">
        <f>VLOOKUP($E441,'[1]Master File'!$A:$F,6,0)*$F441</f>
        <v>41.65</v>
      </c>
    </row>
    <row r="442" spans="1:9" x14ac:dyDescent="0.3">
      <c r="A442" s="6">
        <v>44804</v>
      </c>
      <c r="B442" s="6" t="s">
        <v>133</v>
      </c>
      <c r="C442" s="16">
        <v>31</v>
      </c>
      <c r="D442" s="6" t="s">
        <v>138</v>
      </c>
      <c r="E442" s="7" t="s">
        <v>40</v>
      </c>
      <c r="F442" s="8">
        <v>13</v>
      </c>
      <c r="G442" s="8" t="s">
        <v>117</v>
      </c>
      <c r="H442" s="8">
        <f>VLOOKUP(E442,'[1]Master File'!$A:$F,5,0)*F442</f>
        <v>156</v>
      </c>
      <c r="I442" s="8">
        <f>VLOOKUP($E442,'[1]Master File'!$A:$F,6,0)*$F442</f>
        <v>204.35999999999999</v>
      </c>
    </row>
    <row r="443" spans="1:9" x14ac:dyDescent="0.3">
      <c r="A443" s="6">
        <v>44808</v>
      </c>
      <c r="B443" s="6" t="s">
        <v>134</v>
      </c>
      <c r="C443" s="16">
        <v>4</v>
      </c>
      <c r="D443" s="6" t="s">
        <v>138</v>
      </c>
      <c r="E443" s="7" t="s">
        <v>10</v>
      </c>
      <c r="F443" s="8">
        <v>1</v>
      </c>
      <c r="G443" s="8" t="s">
        <v>117</v>
      </c>
      <c r="H443" s="8">
        <f>VLOOKUP(E443,'[1]Master File'!$A:$F,5,0)*F443</f>
        <v>105</v>
      </c>
      <c r="I443" s="8">
        <f>VLOOKUP($E443,'[1]Master File'!$A:$F,6,0)*$F443</f>
        <v>142.80000000000001</v>
      </c>
    </row>
    <row r="444" spans="1:9" x14ac:dyDescent="0.3">
      <c r="A444" s="6">
        <v>44810</v>
      </c>
      <c r="B444" s="6" t="s">
        <v>134</v>
      </c>
      <c r="C444" s="16">
        <v>6</v>
      </c>
      <c r="D444" s="6" t="s">
        <v>138</v>
      </c>
      <c r="E444" s="7" t="s">
        <v>17</v>
      </c>
      <c r="F444" s="8">
        <v>12</v>
      </c>
      <c r="G444" s="8" t="s">
        <v>115</v>
      </c>
      <c r="H444" s="8">
        <f>VLOOKUP(E444,'[1]Master File'!$A:$F,5,0)*F444</f>
        <v>1596</v>
      </c>
      <c r="I444" s="8">
        <f>VLOOKUP($E444,'[1]Master File'!$A:$F,6,0)*$F444</f>
        <v>1867.3200000000002</v>
      </c>
    </row>
    <row r="445" spans="1:9" x14ac:dyDescent="0.3">
      <c r="A445" s="6">
        <v>44813</v>
      </c>
      <c r="B445" s="6" t="s">
        <v>134</v>
      </c>
      <c r="C445" s="16">
        <v>9</v>
      </c>
      <c r="D445" s="6" t="s">
        <v>138</v>
      </c>
      <c r="E445" s="7" t="s">
        <v>95</v>
      </c>
      <c r="F445" s="8">
        <v>9</v>
      </c>
      <c r="G445" s="8" t="s">
        <v>115</v>
      </c>
      <c r="H445" s="8">
        <f>VLOOKUP(E445,'[1]Master File'!$A:$F,5,0)*F445</f>
        <v>1242</v>
      </c>
      <c r="I445" s="8">
        <f>VLOOKUP($E445,'[1]Master File'!$A:$F,6,0)*$F445</f>
        <v>1564.92</v>
      </c>
    </row>
    <row r="446" spans="1:9" x14ac:dyDescent="0.3">
      <c r="A446" s="6">
        <v>44813</v>
      </c>
      <c r="B446" s="6" t="s">
        <v>134</v>
      </c>
      <c r="C446" s="16">
        <v>9</v>
      </c>
      <c r="D446" s="6" t="s">
        <v>138</v>
      </c>
      <c r="E446" s="7" t="s">
        <v>12</v>
      </c>
      <c r="F446" s="8">
        <v>3</v>
      </c>
      <c r="G446" s="8" t="s">
        <v>115</v>
      </c>
      <c r="H446" s="8">
        <f>VLOOKUP(E446,'[1]Master File'!$A:$F,5,0)*F446</f>
        <v>213</v>
      </c>
      <c r="I446" s="8">
        <f>VLOOKUP($E446,'[1]Master File'!$A:$F,6,0)*$F446</f>
        <v>242.82</v>
      </c>
    </row>
    <row r="447" spans="1:9" x14ac:dyDescent="0.3">
      <c r="A447" s="6">
        <v>44814</v>
      </c>
      <c r="B447" s="6" t="s">
        <v>134</v>
      </c>
      <c r="C447" s="16">
        <v>10</v>
      </c>
      <c r="D447" s="6" t="s">
        <v>138</v>
      </c>
      <c r="E447" s="7" t="s">
        <v>82</v>
      </c>
      <c r="F447" s="8">
        <v>15</v>
      </c>
      <c r="G447" s="8" t="s">
        <v>117</v>
      </c>
      <c r="H447" s="8">
        <f>VLOOKUP(E447,'[1]Master File'!$A:$F,5,0)*F447</f>
        <v>75</v>
      </c>
      <c r="I447" s="8">
        <f>VLOOKUP($E447,'[1]Master File'!$A:$F,6,0)*$F447</f>
        <v>100.5</v>
      </c>
    </row>
    <row r="448" spans="1:9" x14ac:dyDescent="0.3">
      <c r="A448" s="6">
        <v>44814</v>
      </c>
      <c r="B448" s="6" t="s">
        <v>134</v>
      </c>
      <c r="C448" s="16">
        <v>10</v>
      </c>
      <c r="D448" s="6" t="s">
        <v>138</v>
      </c>
      <c r="E448" s="7" t="s">
        <v>89</v>
      </c>
      <c r="F448" s="8">
        <v>4</v>
      </c>
      <c r="G448" s="8" t="s">
        <v>117</v>
      </c>
      <c r="H448" s="8">
        <f>VLOOKUP(E448,'[1]Master File'!$A:$F,5,0)*F448</f>
        <v>288</v>
      </c>
      <c r="I448" s="8">
        <f>VLOOKUP($E448,'[1]Master File'!$A:$F,6,0)*$F448</f>
        <v>319.68</v>
      </c>
    </row>
    <row r="449" spans="1:9" x14ac:dyDescent="0.3">
      <c r="A449" s="6">
        <v>44818</v>
      </c>
      <c r="B449" s="6" t="s">
        <v>134</v>
      </c>
      <c r="C449" s="16">
        <v>14</v>
      </c>
      <c r="D449" s="6" t="s">
        <v>138</v>
      </c>
      <c r="E449" s="7" t="s">
        <v>70</v>
      </c>
      <c r="F449" s="8">
        <v>3</v>
      </c>
      <c r="G449" s="8" t="s">
        <v>117</v>
      </c>
      <c r="H449" s="8">
        <f>VLOOKUP(E449,'[1]Master File'!$A:$F,5,0)*F449</f>
        <v>141</v>
      </c>
      <c r="I449" s="8">
        <f>VLOOKUP($E449,'[1]Master File'!$A:$F,6,0)*$F449</f>
        <v>159.32999999999998</v>
      </c>
    </row>
    <row r="450" spans="1:9" x14ac:dyDescent="0.3">
      <c r="A450" s="6">
        <v>44819</v>
      </c>
      <c r="B450" s="6" t="s">
        <v>134</v>
      </c>
      <c r="C450" s="16">
        <v>15</v>
      </c>
      <c r="D450" s="6" t="s">
        <v>138</v>
      </c>
      <c r="E450" s="7" t="s">
        <v>86</v>
      </c>
      <c r="F450" s="8">
        <v>15</v>
      </c>
      <c r="G450" s="8" t="s">
        <v>115</v>
      </c>
      <c r="H450" s="8">
        <f>VLOOKUP(E450,'[1]Master File'!$A:$F,5,0)*F450</f>
        <v>1005</v>
      </c>
      <c r="I450" s="8">
        <f>VLOOKUP($E450,'[1]Master File'!$A:$F,6,0)*$F450</f>
        <v>1286.4000000000001</v>
      </c>
    </row>
    <row r="451" spans="1:9" x14ac:dyDescent="0.3">
      <c r="A451" s="6">
        <v>44822</v>
      </c>
      <c r="B451" s="6" t="s">
        <v>134</v>
      </c>
      <c r="C451" s="16">
        <v>18</v>
      </c>
      <c r="D451" s="6" t="s">
        <v>138</v>
      </c>
      <c r="E451" s="7" t="s">
        <v>63</v>
      </c>
      <c r="F451" s="8">
        <v>14</v>
      </c>
      <c r="G451" s="8" t="s">
        <v>117</v>
      </c>
      <c r="H451" s="8">
        <f>VLOOKUP(E451,'[1]Master File'!$A:$F,5,0)*F451</f>
        <v>252</v>
      </c>
      <c r="I451" s="8">
        <f>VLOOKUP($E451,'[1]Master File'!$A:$F,6,0)*$F451</f>
        <v>345.24</v>
      </c>
    </row>
    <row r="452" spans="1:9" x14ac:dyDescent="0.3">
      <c r="A452" s="6">
        <v>44823</v>
      </c>
      <c r="B452" s="6" t="s">
        <v>134</v>
      </c>
      <c r="C452" s="16">
        <v>19</v>
      </c>
      <c r="D452" s="6" t="s">
        <v>138</v>
      </c>
      <c r="E452" s="7" t="s">
        <v>78</v>
      </c>
      <c r="F452" s="8">
        <v>8</v>
      </c>
      <c r="G452" s="8" t="s">
        <v>117</v>
      </c>
      <c r="H452" s="8">
        <f>VLOOKUP(E452,'[1]Master File'!$A:$F,5,0)*F452</f>
        <v>760</v>
      </c>
      <c r="I452" s="8">
        <f>VLOOKUP($E452,'[1]Master File'!$A:$F,6,0)*$F452</f>
        <v>957.6</v>
      </c>
    </row>
    <row r="453" spans="1:9" x14ac:dyDescent="0.3">
      <c r="A453" s="6">
        <v>44824</v>
      </c>
      <c r="B453" s="6" t="s">
        <v>134</v>
      </c>
      <c r="C453" s="16">
        <v>20</v>
      </c>
      <c r="D453" s="6" t="s">
        <v>138</v>
      </c>
      <c r="E453" s="7" t="s">
        <v>78</v>
      </c>
      <c r="F453" s="8">
        <v>6</v>
      </c>
      <c r="G453" s="8" t="s">
        <v>115</v>
      </c>
      <c r="H453" s="8">
        <f>VLOOKUP(E453,'[1]Master File'!$A:$F,5,0)*F453</f>
        <v>570</v>
      </c>
      <c r="I453" s="8">
        <f>VLOOKUP($E453,'[1]Master File'!$A:$F,6,0)*$F453</f>
        <v>718.2</v>
      </c>
    </row>
    <row r="454" spans="1:9" x14ac:dyDescent="0.3">
      <c r="A454" s="6">
        <v>44824</v>
      </c>
      <c r="B454" s="6" t="s">
        <v>134</v>
      </c>
      <c r="C454" s="16">
        <v>20</v>
      </c>
      <c r="D454" s="6" t="s">
        <v>138</v>
      </c>
      <c r="E454" s="7" t="s">
        <v>6</v>
      </c>
      <c r="F454" s="8">
        <v>10</v>
      </c>
      <c r="G454" s="8" t="s">
        <v>115</v>
      </c>
      <c r="H454" s="8">
        <f>VLOOKUP(E454,'[1]Master File'!$A:$F,5,0)*F454</f>
        <v>980</v>
      </c>
      <c r="I454" s="8">
        <f>VLOOKUP($E454,'[1]Master File'!$A:$F,6,0)*$F454</f>
        <v>1038.8</v>
      </c>
    </row>
    <row r="455" spans="1:9" x14ac:dyDescent="0.3">
      <c r="A455" s="6">
        <v>44825</v>
      </c>
      <c r="B455" s="6" t="s">
        <v>134</v>
      </c>
      <c r="C455" s="16">
        <v>21</v>
      </c>
      <c r="D455" s="6" t="s">
        <v>138</v>
      </c>
      <c r="E455" s="7" t="s">
        <v>46</v>
      </c>
      <c r="F455" s="8">
        <v>14</v>
      </c>
      <c r="G455" s="8" t="s">
        <v>115</v>
      </c>
      <c r="H455" s="8">
        <f>VLOOKUP(E455,'[1]Master File'!$A:$F,5,0)*F455</f>
        <v>518</v>
      </c>
      <c r="I455" s="8">
        <f>VLOOKUP($E455,'[1]Master File'!$A:$F,6,0)*$F455</f>
        <v>688.94</v>
      </c>
    </row>
    <row r="456" spans="1:9" x14ac:dyDescent="0.3">
      <c r="A456" s="6">
        <v>44825</v>
      </c>
      <c r="B456" s="6" t="s">
        <v>134</v>
      </c>
      <c r="C456" s="16">
        <v>21</v>
      </c>
      <c r="D456" s="6" t="s">
        <v>138</v>
      </c>
      <c r="E456" s="7" t="s">
        <v>63</v>
      </c>
      <c r="F456" s="8">
        <v>5</v>
      </c>
      <c r="G456" s="8" t="s">
        <v>117</v>
      </c>
      <c r="H456" s="8">
        <f>VLOOKUP(E456,'[1]Master File'!$A:$F,5,0)*F456</f>
        <v>90</v>
      </c>
      <c r="I456" s="8">
        <f>VLOOKUP($E456,'[1]Master File'!$A:$F,6,0)*$F456</f>
        <v>123.3</v>
      </c>
    </row>
    <row r="457" spans="1:9" x14ac:dyDescent="0.3">
      <c r="A457" s="6">
        <v>44826</v>
      </c>
      <c r="B457" s="6" t="s">
        <v>134</v>
      </c>
      <c r="C457" s="16">
        <v>22</v>
      </c>
      <c r="D457" s="6" t="s">
        <v>138</v>
      </c>
      <c r="E457" s="7" t="s">
        <v>99</v>
      </c>
      <c r="F457" s="8">
        <v>12</v>
      </c>
      <c r="G457" s="8" t="s">
        <v>115</v>
      </c>
      <c r="H457" s="8">
        <f>VLOOKUP(E457,'[1]Master File'!$A:$F,5,0)*F457</f>
        <v>804</v>
      </c>
      <c r="I457" s="8">
        <f>VLOOKUP($E457,'[1]Master File'!$A:$F,6,0)*$F457</f>
        <v>996.96</v>
      </c>
    </row>
    <row r="458" spans="1:9" x14ac:dyDescent="0.3">
      <c r="A458" s="6">
        <v>44827</v>
      </c>
      <c r="B458" s="6" t="s">
        <v>134</v>
      </c>
      <c r="C458" s="16">
        <v>23</v>
      </c>
      <c r="D458" s="6" t="s">
        <v>138</v>
      </c>
      <c r="E458" s="7" t="s">
        <v>34</v>
      </c>
      <c r="F458" s="8">
        <v>12</v>
      </c>
      <c r="G458" s="8" t="s">
        <v>115</v>
      </c>
      <c r="H458" s="8">
        <f>VLOOKUP(E458,'[1]Master File'!$A:$F,5,0)*F458</f>
        <v>876</v>
      </c>
      <c r="I458" s="8">
        <f>VLOOKUP($E458,'[1]Master File'!$A:$F,6,0)*$F458</f>
        <v>1130.04</v>
      </c>
    </row>
    <row r="459" spans="1:9" x14ac:dyDescent="0.3">
      <c r="A459" s="6">
        <v>44828</v>
      </c>
      <c r="B459" s="6" t="s">
        <v>134</v>
      </c>
      <c r="C459" s="16">
        <v>24</v>
      </c>
      <c r="D459" s="6" t="s">
        <v>138</v>
      </c>
      <c r="E459" s="7" t="s">
        <v>76</v>
      </c>
      <c r="F459" s="8">
        <v>14</v>
      </c>
      <c r="G459" s="8" t="s">
        <v>115</v>
      </c>
      <c r="H459" s="8">
        <f>VLOOKUP(E459,'[1]Master File'!$A:$F,5,0)*F459</f>
        <v>1246</v>
      </c>
      <c r="I459" s="8">
        <f>VLOOKUP($E459,'[1]Master File'!$A:$F,6,0)*$F459</f>
        <v>1644.72</v>
      </c>
    </row>
    <row r="460" spans="1:9" x14ac:dyDescent="0.3">
      <c r="A460" s="6">
        <v>44828</v>
      </c>
      <c r="B460" s="6" t="s">
        <v>134</v>
      </c>
      <c r="C460" s="16">
        <v>24</v>
      </c>
      <c r="D460" s="6" t="s">
        <v>138</v>
      </c>
      <c r="E460" s="7" t="s">
        <v>76</v>
      </c>
      <c r="F460" s="8">
        <v>8</v>
      </c>
      <c r="G460" s="8" t="s">
        <v>117</v>
      </c>
      <c r="H460" s="8">
        <f>VLOOKUP(E460,'[1]Master File'!$A:$F,5,0)*F460</f>
        <v>712</v>
      </c>
      <c r="I460" s="8">
        <f>VLOOKUP($E460,'[1]Master File'!$A:$F,6,0)*$F460</f>
        <v>939.84</v>
      </c>
    </row>
    <row r="461" spans="1:9" x14ac:dyDescent="0.3">
      <c r="A461" s="6">
        <v>44831</v>
      </c>
      <c r="B461" s="6" t="s">
        <v>134</v>
      </c>
      <c r="C461" s="16">
        <v>27</v>
      </c>
      <c r="D461" s="6" t="s">
        <v>138</v>
      </c>
      <c r="E461" s="7" t="s">
        <v>84</v>
      </c>
      <c r="F461" s="8">
        <v>4</v>
      </c>
      <c r="G461" s="8" t="s">
        <v>117</v>
      </c>
      <c r="H461" s="8">
        <f>VLOOKUP(E461,'[1]Master File'!$A:$F,5,0)*F461</f>
        <v>360</v>
      </c>
      <c r="I461" s="8">
        <f>VLOOKUP($E461,'[1]Master File'!$A:$F,6,0)*$F461</f>
        <v>385.2</v>
      </c>
    </row>
    <row r="462" spans="1:9" x14ac:dyDescent="0.3">
      <c r="A462" s="6">
        <v>44831</v>
      </c>
      <c r="B462" s="6" t="s">
        <v>134</v>
      </c>
      <c r="C462" s="16">
        <v>27</v>
      </c>
      <c r="D462" s="6" t="s">
        <v>138</v>
      </c>
      <c r="E462" s="7" t="s">
        <v>101</v>
      </c>
      <c r="F462" s="8">
        <v>9</v>
      </c>
      <c r="G462" s="8" t="s">
        <v>117</v>
      </c>
      <c r="H462" s="8">
        <f>VLOOKUP(E462,'[1]Master File'!$A:$F,5,0)*F462</f>
        <v>684</v>
      </c>
      <c r="I462" s="8">
        <f>VLOOKUP($E462,'[1]Master File'!$A:$F,6,0)*$F462</f>
        <v>738.72</v>
      </c>
    </row>
    <row r="463" spans="1:9" x14ac:dyDescent="0.3">
      <c r="A463" s="6">
        <v>44831</v>
      </c>
      <c r="B463" s="6" t="s">
        <v>134</v>
      </c>
      <c r="C463" s="16">
        <v>27</v>
      </c>
      <c r="D463" s="6" t="s">
        <v>138</v>
      </c>
      <c r="E463" s="7" t="s">
        <v>89</v>
      </c>
      <c r="F463" s="8">
        <v>3</v>
      </c>
      <c r="G463" s="8" t="s">
        <v>117</v>
      </c>
      <c r="H463" s="8">
        <f>VLOOKUP(E463,'[1]Master File'!$A:$F,5,0)*F463</f>
        <v>216</v>
      </c>
      <c r="I463" s="8">
        <f>VLOOKUP($E463,'[1]Master File'!$A:$F,6,0)*$F463</f>
        <v>239.76</v>
      </c>
    </row>
    <row r="464" spans="1:9" x14ac:dyDescent="0.3">
      <c r="A464" s="6">
        <v>44833</v>
      </c>
      <c r="B464" s="6" t="s">
        <v>134</v>
      </c>
      <c r="C464" s="16">
        <v>29</v>
      </c>
      <c r="D464" s="6" t="s">
        <v>138</v>
      </c>
      <c r="E464" s="7" t="s">
        <v>80</v>
      </c>
      <c r="F464" s="8">
        <v>13</v>
      </c>
      <c r="G464" s="8" t="s">
        <v>115</v>
      </c>
      <c r="H464" s="8">
        <f>VLOOKUP(E464,'[1]Master File'!$A:$F,5,0)*F464</f>
        <v>715</v>
      </c>
      <c r="I464" s="8">
        <f>VLOOKUP($E464,'[1]Master File'!$A:$F,6,0)*$F464</f>
        <v>757.9</v>
      </c>
    </row>
    <row r="465" spans="1:9" x14ac:dyDescent="0.3">
      <c r="A465" s="6">
        <v>44837</v>
      </c>
      <c r="B465" s="6" t="s">
        <v>135</v>
      </c>
      <c r="C465" s="16">
        <v>3</v>
      </c>
      <c r="D465" s="6" t="s">
        <v>138</v>
      </c>
      <c r="E465" s="7" t="s">
        <v>32</v>
      </c>
      <c r="F465" s="8">
        <v>5</v>
      </c>
      <c r="G465" s="8" t="s">
        <v>117</v>
      </c>
      <c r="H465" s="8">
        <f>VLOOKUP(E465,'[1]Master File'!$A:$F,5,0)*F465</f>
        <v>220</v>
      </c>
      <c r="I465" s="8">
        <f>VLOOKUP($E465,'[1]Master File'!$A:$F,6,0)*$F465</f>
        <v>242</v>
      </c>
    </row>
    <row r="466" spans="1:9" x14ac:dyDescent="0.3">
      <c r="A466" s="6">
        <v>44838</v>
      </c>
      <c r="B466" s="6" t="s">
        <v>135</v>
      </c>
      <c r="C466" s="16">
        <v>4</v>
      </c>
      <c r="D466" s="6" t="s">
        <v>138</v>
      </c>
      <c r="E466" s="7" t="s">
        <v>22</v>
      </c>
      <c r="F466" s="8">
        <v>15</v>
      </c>
      <c r="G466" s="8" t="s">
        <v>115</v>
      </c>
      <c r="H466" s="8">
        <f>VLOOKUP(E466,'[1]Master File'!$A:$F,5,0)*F466</f>
        <v>645</v>
      </c>
      <c r="I466" s="8">
        <f>VLOOKUP($E466,'[1]Master File'!$A:$F,6,0)*$F466</f>
        <v>715.95</v>
      </c>
    </row>
    <row r="467" spans="1:9" x14ac:dyDescent="0.3">
      <c r="A467" s="6">
        <v>44840</v>
      </c>
      <c r="B467" s="6" t="s">
        <v>135</v>
      </c>
      <c r="C467" s="16">
        <v>6</v>
      </c>
      <c r="D467" s="6" t="s">
        <v>138</v>
      </c>
      <c r="E467" s="7" t="s">
        <v>82</v>
      </c>
      <c r="F467" s="8">
        <v>1</v>
      </c>
      <c r="G467" s="8" t="s">
        <v>115</v>
      </c>
      <c r="H467" s="8">
        <f>VLOOKUP(E467,'[1]Master File'!$A:$F,5,0)*F467</f>
        <v>5</v>
      </c>
      <c r="I467" s="8">
        <f>VLOOKUP($E467,'[1]Master File'!$A:$F,6,0)*$F467</f>
        <v>6.7</v>
      </c>
    </row>
    <row r="468" spans="1:9" x14ac:dyDescent="0.3">
      <c r="A468" s="6">
        <v>44843</v>
      </c>
      <c r="B468" s="6" t="s">
        <v>135</v>
      </c>
      <c r="C468" s="16">
        <v>9</v>
      </c>
      <c r="D468" s="6" t="s">
        <v>138</v>
      </c>
      <c r="E468" s="7" t="s">
        <v>89</v>
      </c>
      <c r="F468" s="8">
        <v>14</v>
      </c>
      <c r="G468" s="8" t="s">
        <v>115</v>
      </c>
      <c r="H468" s="8">
        <f>VLOOKUP(E468,'[1]Master File'!$A:$F,5,0)*F468</f>
        <v>1008</v>
      </c>
      <c r="I468" s="8">
        <f>VLOOKUP($E468,'[1]Master File'!$A:$F,6,0)*$F468</f>
        <v>1118.8800000000001</v>
      </c>
    </row>
    <row r="469" spans="1:9" x14ac:dyDescent="0.3">
      <c r="A469" s="6">
        <v>44844</v>
      </c>
      <c r="B469" s="6" t="s">
        <v>135</v>
      </c>
      <c r="C469" s="16">
        <v>10</v>
      </c>
      <c r="D469" s="6" t="s">
        <v>138</v>
      </c>
      <c r="E469" s="7" t="s">
        <v>48</v>
      </c>
      <c r="F469" s="8">
        <v>9</v>
      </c>
      <c r="G469" s="8" t="s">
        <v>115</v>
      </c>
      <c r="H469" s="8">
        <f>VLOOKUP(E469,'[1]Master File'!$A:$F,5,0)*F469</f>
        <v>1350</v>
      </c>
      <c r="I469" s="8">
        <f>VLOOKUP($E469,'[1]Master File'!$A:$F,6,0)*$F469</f>
        <v>1890</v>
      </c>
    </row>
    <row r="470" spans="1:9" x14ac:dyDescent="0.3">
      <c r="A470" s="6">
        <v>44844</v>
      </c>
      <c r="B470" s="6" t="s">
        <v>135</v>
      </c>
      <c r="C470" s="16">
        <v>10</v>
      </c>
      <c r="D470" s="6" t="s">
        <v>138</v>
      </c>
      <c r="E470" s="7" t="s">
        <v>101</v>
      </c>
      <c r="F470" s="8">
        <v>12</v>
      </c>
      <c r="G470" s="8" t="s">
        <v>115</v>
      </c>
      <c r="H470" s="8">
        <f>VLOOKUP(E470,'[1]Master File'!$A:$F,5,0)*F470</f>
        <v>912</v>
      </c>
      <c r="I470" s="8">
        <f>VLOOKUP($E470,'[1]Master File'!$A:$F,6,0)*$F470</f>
        <v>984.96</v>
      </c>
    </row>
    <row r="471" spans="1:9" x14ac:dyDescent="0.3">
      <c r="A471" s="6">
        <v>44845</v>
      </c>
      <c r="B471" s="6" t="s">
        <v>135</v>
      </c>
      <c r="C471" s="16">
        <v>11</v>
      </c>
      <c r="D471" s="6" t="s">
        <v>138</v>
      </c>
      <c r="E471" s="7" t="s">
        <v>24</v>
      </c>
      <c r="F471" s="8">
        <v>10</v>
      </c>
      <c r="G471" s="8" t="s">
        <v>115</v>
      </c>
      <c r="H471" s="8">
        <f>VLOOKUP(E471,'[1]Master File'!$A:$F,5,0)*F471</f>
        <v>830</v>
      </c>
      <c r="I471" s="8">
        <f>VLOOKUP($E471,'[1]Master File'!$A:$F,6,0)*$F471</f>
        <v>946.2</v>
      </c>
    </row>
    <row r="472" spans="1:9" x14ac:dyDescent="0.3">
      <c r="A472" s="6">
        <v>44847</v>
      </c>
      <c r="B472" s="6" t="s">
        <v>135</v>
      </c>
      <c r="C472" s="16">
        <v>13</v>
      </c>
      <c r="D472" s="6" t="s">
        <v>138</v>
      </c>
      <c r="E472" s="7" t="s">
        <v>10</v>
      </c>
      <c r="F472" s="8">
        <v>15</v>
      </c>
      <c r="G472" s="8" t="s">
        <v>115</v>
      </c>
      <c r="H472" s="8">
        <f>VLOOKUP(E472,'[1]Master File'!$A:$F,5,0)*F472</f>
        <v>1575</v>
      </c>
      <c r="I472" s="8">
        <f>VLOOKUP($E472,'[1]Master File'!$A:$F,6,0)*$F472</f>
        <v>2142</v>
      </c>
    </row>
    <row r="473" spans="1:9" x14ac:dyDescent="0.3">
      <c r="A473" s="6">
        <v>44848</v>
      </c>
      <c r="B473" s="6" t="s">
        <v>135</v>
      </c>
      <c r="C473" s="16">
        <v>14</v>
      </c>
      <c r="D473" s="6" t="s">
        <v>138</v>
      </c>
      <c r="E473" s="7" t="s">
        <v>101</v>
      </c>
      <c r="F473" s="8">
        <v>15</v>
      </c>
      <c r="G473" s="8" t="s">
        <v>115</v>
      </c>
      <c r="H473" s="8">
        <f>VLOOKUP(E473,'[1]Master File'!$A:$F,5,0)*F473</f>
        <v>1140</v>
      </c>
      <c r="I473" s="8">
        <f>VLOOKUP($E473,'[1]Master File'!$A:$F,6,0)*$F473</f>
        <v>1231.2</v>
      </c>
    </row>
    <row r="474" spans="1:9" x14ac:dyDescent="0.3">
      <c r="A474" s="6">
        <v>44849</v>
      </c>
      <c r="B474" s="6" t="s">
        <v>135</v>
      </c>
      <c r="C474" s="16">
        <v>15</v>
      </c>
      <c r="D474" s="6" t="s">
        <v>138</v>
      </c>
      <c r="E474" s="7" t="s">
        <v>40</v>
      </c>
      <c r="F474" s="8">
        <v>10</v>
      </c>
      <c r="G474" s="8" t="s">
        <v>117</v>
      </c>
      <c r="H474" s="8">
        <f>VLOOKUP(E474,'[1]Master File'!$A:$F,5,0)*F474</f>
        <v>120</v>
      </c>
      <c r="I474" s="8">
        <f>VLOOKUP($E474,'[1]Master File'!$A:$F,6,0)*$F474</f>
        <v>157.19999999999999</v>
      </c>
    </row>
    <row r="475" spans="1:9" x14ac:dyDescent="0.3">
      <c r="A475" s="6">
        <v>44850</v>
      </c>
      <c r="B475" s="6" t="s">
        <v>135</v>
      </c>
      <c r="C475" s="16">
        <v>16</v>
      </c>
      <c r="D475" s="6" t="s">
        <v>138</v>
      </c>
      <c r="E475" s="7" t="s">
        <v>84</v>
      </c>
      <c r="F475" s="8">
        <v>3</v>
      </c>
      <c r="G475" s="8" t="s">
        <v>115</v>
      </c>
      <c r="H475" s="8">
        <f>VLOOKUP(E475,'[1]Master File'!$A:$F,5,0)*F475</f>
        <v>270</v>
      </c>
      <c r="I475" s="8">
        <f>VLOOKUP($E475,'[1]Master File'!$A:$F,6,0)*$F475</f>
        <v>288.89999999999998</v>
      </c>
    </row>
    <row r="476" spans="1:9" x14ac:dyDescent="0.3">
      <c r="A476" s="6">
        <v>44857</v>
      </c>
      <c r="B476" s="6" t="s">
        <v>135</v>
      </c>
      <c r="C476" s="16">
        <v>23</v>
      </c>
      <c r="D476" s="6" t="s">
        <v>138</v>
      </c>
      <c r="E476" s="7" t="s">
        <v>59</v>
      </c>
      <c r="F476" s="8">
        <v>14</v>
      </c>
      <c r="G476" s="8" t="s">
        <v>117</v>
      </c>
      <c r="H476" s="8">
        <f>VLOOKUP(E476,'[1]Master File'!$A:$F,5,0)*F476</f>
        <v>2016</v>
      </c>
      <c r="I476" s="8">
        <f>VLOOKUP($E476,'[1]Master File'!$A:$F,6,0)*$F476</f>
        <v>2197.44</v>
      </c>
    </row>
    <row r="477" spans="1:9" x14ac:dyDescent="0.3">
      <c r="A477" s="6">
        <v>44864</v>
      </c>
      <c r="B477" s="6" t="s">
        <v>135</v>
      </c>
      <c r="C477" s="16">
        <v>30</v>
      </c>
      <c r="D477" s="6" t="s">
        <v>138</v>
      </c>
      <c r="E477" s="7" t="s">
        <v>97</v>
      </c>
      <c r="F477" s="8">
        <v>3</v>
      </c>
      <c r="G477" s="8" t="s">
        <v>117</v>
      </c>
      <c r="H477" s="8">
        <f>VLOOKUP(E477,'[1]Master File'!$A:$F,5,0)*F477</f>
        <v>360</v>
      </c>
      <c r="I477" s="8">
        <f>VLOOKUP($E477,'[1]Master File'!$A:$F,6,0)*$F477</f>
        <v>486</v>
      </c>
    </row>
    <row r="478" spans="1:9" x14ac:dyDescent="0.3">
      <c r="A478" s="6">
        <v>44865</v>
      </c>
      <c r="B478" s="6" t="s">
        <v>135</v>
      </c>
      <c r="C478" s="16">
        <v>31</v>
      </c>
      <c r="D478" s="6" t="s">
        <v>138</v>
      </c>
      <c r="E478" s="7" t="s">
        <v>89</v>
      </c>
      <c r="F478" s="8">
        <v>8</v>
      </c>
      <c r="G478" s="8" t="s">
        <v>115</v>
      </c>
      <c r="H478" s="8">
        <f>VLOOKUP(E478,'[1]Master File'!$A:$F,5,0)*F478</f>
        <v>576</v>
      </c>
      <c r="I478" s="8">
        <f>VLOOKUP($E478,'[1]Master File'!$A:$F,6,0)*$F478</f>
        <v>639.36</v>
      </c>
    </row>
    <row r="479" spans="1:9" x14ac:dyDescent="0.3">
      <c r="A479" s="6">
        <v>44866</v>
      </c>
      <c r="B479" s="6" t="s">
        <v>136</v>
      </c>
      <c r="C479" s="16">
        <v>1</v>
      </c>
      <c r="D479" s="6" t="s">
        <v>138</v>
      </c>
      <c r="E479" s="7" t="s">
        <v>34</v>
      </c>
      <c r="F479" s="8">
        <v>15</v>
      </c>
      <c r="G479" s="8" t="s">
        <v>115</v>
      </c>
      <c r="H479" s="8">
        <f>VLOOKUP(E479,'[1]Master File'!$A:$F,5,0)*F479</f>
        <v>1095</v>
      </c>
      <c r="I479" s="8">
        <f>VLOOKUP($E479,'[1]Master File'!$A:$F,6,0)*$F479</f>
        <v>1412.55</v>
      </c>
    </row>
    <row r="480" spans="1:9" x14ac:dyDescent="0.3">
      <c r="A480" s="6">
        <v>44867</v>
      </c>
      <c r="B480" s="6" t="s">
        <v>136</v>
      </c>
      <c r="C480" s="16">
        <v>2</v>
      </c>
      <c r="D480" s="6" t="s">
        <v>138</v>
      </c>
      <c r="E480" s="7" t="s">
        <v>40</v>
      </c>
      <c r="F480" s="8">
        <v>15</v>
      </c>
      <c r="G480" s="8" t="s">
        <v>117</v>
      </c>
      <c r="H480" s="8">
        <f>VLOOKUP(E480,'[1]Master File'!$A:$F,5,0)*F480</f>
        <v>180</v>
      </c>
      <c r="I480" s="8">
        <f>VLOOKUP($E480,'[1]Master File'!$A:$F,6,0)*$F480</f>
        <v>235.79999999999998</v>
      </c>
    </row>
    <row r="481" spans="1:9" x14ac:dyDescent="0.3">
      <c r="A481" s="6">
        <v>44867</v>
      </c>
      <c r="B481" s="6" t="s">
        <v>136</v>
      </c>
      <c r="C481" s="16">
        <v>2</v>
      </c>
      <c r="D481" s="6" t="s">
        <v>138</v>
      </c>
      <c r="E481" s="7" t="s">
        <v>72</v>
      </c>
      <c r="F481" s="8">
        <v>15</v>
      </c>
      <c r="G481" s="8" t="s">
        <v>117</v>
      </c>
      <c r="H481" s="8">
        <f>VLOOKUP(E481,'[1]Master File'!$A:$F,5,0)*F481</f>
        <v>2220</v>
      </c>
      <c r="I481" s="8">
        <f>VLOOKUP($E481,'[1]Master File'!$A:$F,6,0)*$F481</f>
        <v>3019.2</v>
      </c>
    </row>
    <row r="482" spans="1:9" x14ac:dyDescent="0.3">
      <c r="A482" s="6">
        <v>44867</v>
      </c>
      <c r="B482" s="6" t="s">
        <v>136</v>
      </c>
      <c r="C482" s="16">
        <v>2</v>
      </c>
      <c r="D482" s="6" t="s">
        <v>138</v>
      </c>
      <c r="E482" s="7" t="s">
        <v>82</v>
      </c>
      <c r="F482" s="8">
        <v>5</v>
      </c>
      <c r="G482" s="8" t="s">
        <v>117</v>
      </c>
      <c r="H482" s="8">
        <f>VLOOKUP(E482,'[1]Master File'!$A:$F,5,0)*F482</f>
        <v>25</v>
      </c>
      <c r="I482" s="8">
        <f>VLOOKUP($E482,'[1]Master File'!$A:$F,6,0)*$F482</f>
        <v>33.5</v>
      </c>
    </row>
    <row r="483" spans="1:9" x14ac:dyDescent="0.3">
      <c r="A483" s="6">
        <v>44868</v>
      </c>
      <c r="B483" s="6" t="s">
        <v>136</v>
      </c>
      <c r="C483" s="16">
        <v>3</v>
      </c>
      <c r="D483" s="6" t="s">
        <v>138</v>
      </c>
      <c r="E483" s="7" t="s">
        <v>50</v>
      </c>
      <c r="F483" s="8">
        <v>11</v>
      </c>
      <c r="G483" s="8" t="s">
        <v>115</v>
      </c>
      <c r="H483" s="8">
        <f>VLOOKUP(E483,'[1]Master File'!$A:$F,5,0)*F483</f>
        <v>671</v>
      </c>
      <c r="I483" s="8">
        <f>VLOOKUP($E483,'[1]Master File'!$A:$F,6,0)*$F483</f>
        <v>838.75</v>
      </c>
    </row>
    <row r="484" spans="1:9" x14ac:dyDescent="0.3">
      <c r="A484" s="6">
        <v>44869</v>
      </c>
      <c r="B484" s="6" t="s">
        <v>136</v>
      </c>
      <c r="C484" s="16">
        <v>4</v>
      </c>
      <c r="D484" s="6" t="s">
        <v>138</v>
      </c>
      <c r="E484" s="7" t="s">
        <v>24</v>
      </c>
      <c r="F484" s="8">
        <v>10</v>
      </c>
      <c r="G484" s="8" t="s">
        <v>115</v>
      </c>
      <c r="H484" s="8">
        <f>VLOOKUP(E484,'[1]Master File'!$A:$F,5,0)*F484</f>
        <v>830</v>
      </c>
      <c r="I484" s="8">
        <f>VLOOKUP($E484,'[1]Master File'!$A:$F,6,0)*$F484</f>
        <v>946.2</v>
      </c>
    </row>
    <row r="485" spans="1:9" x14ac:dyDescent="0.3">
      <c r="A485" s="6">
        <v>44870</v>
      </c>
      <c r="B485" s="6" t="s">
        <v>136</v>
      </c>
      <c r="C485" s="16">
        <v>5</v>
      </c>
      <c r="D485" s="6" t="s">
        <v>138</v>
      </c>
      <c r="E485" s="7" t="s">
        <v>48</v>
      </c>
      <c r="F485" s="8">
        <v>15</v>
      </c>
      <c r="G485" s="8" t="s">
        <v>117</v>
      </c>
      <c r="H485" s="8">
        <f>VLOOKUP(E485,'[1]Master File'!$A:$F,5,0)*F485</f>
        <v>2250</v>
      </c>
      <c r="I485" s="8">
        <f>VLOOKUP($E485,'[1]Master File'!$A:$F,6,0)*$F485</f>
        <v>3150</v>
      </c>
    </row>
    <row r="486" spans="1:9" x14ac:dyDescent="0.3">
      <c r="A486" s="6">
        <v>44871</v>
      </c>
      <c r="B486" s="6" t="s">
        <v>136</v>
      </c>
      <c r="C486" s="16">
        <v>6</v>
      </c>
      <c r="D486" s="6" t="s">
        <v>138</v>
      </c>
      <c r="E486" s="7" t="s">
        <v>99</v>
      </c>
      <c r="F486" s="8">
        <v>13</v>
      </c>
      <c r="G486" s="8" t="s">
        <v>117</v>
      </c>
      <c r="H486" s="8">
        <f>VLOOKUP(E486,'[1]Master File'!$A:$F,5,0)*F486</f>
        <v>871</v>
      </c>
      <c r="I486" s="8">
        <f>VLOOKUP($E486,'[1]Master File'!$A:$F,6,0)*$F486</f>
        <v>1080.04</v>
      </c>
    </row>
    <row r="487" spans="1:9" x14ac:dyDescent="0.3">
      <c r="A487" s="6">
        <v>44871</v>
      </c>
      <c r="B487" s="6" t="s">
        <v>136</v>
      </c>
      <c r="C487" s="16">
        <v>6</v>
      </c>
      <c r="D487" s="6" t="s">
        <v>138</v>
      </c>
      <c r="E487" s="7" t="s">
        <v>40</v>
      </c>
      <c r="F487" s="8">
        <v>13</v>
      </c>
      <c r="G487" s="8" t="s">
        <v>115</v>
      </c>
      <c r="H487" s="8">
        <f>VLOOKUP(E487,'[1]Master File'!$A:$F,5,0)*F487</f>
        <v>156</v>
      </c>
      <c r="I487" s="8">
        <f>VLOOKUP($E487,'[1]Master File'!$A:$F,6,0)*$F487</f>
        <v>204.35999999999999</v>
      </c>
    </row>
    <row r="488" spans="1:9" x14ac:dyDescent="0.3">
      <c r="A488" s="6">
        <v>44871</v>
      </c>
      <c r="B488" s="6" t="s">
        <v>136</v>
      </c>
      <c r="C488" s="16">
        <v>6</v>
      </c>
      <c r="D488" s="6" t="s">
        <v>138</v>
      </c>
      <c r="E488" s="7" t="s">
        <v>97</v>
      </c>
      <c r="F488" s="8">
        <v>13</v>
      </c>
      <c r="G488" s="8" t="s">
        <v>117</v>
      </c>
      <c r="H488" s="8">
        <f>VLOOKUP(E488,'[1]Master File'!$A:$F,5,0)*F488</f>
        <v>1560</v>
      </c>
      <c r="I488" s="8">
        <f>VLOOKUP($E488,'[1]Master File'!$A:$F,6,0)*$F488</f>
        <v>2106</v>
      </c>
    </row>
    <row r="489" spans="1:9" x14ac:dyDescent="0.3">
      <c r="A489" s="6">
        <v>44872</v>
      </c>
      <c r="B489" s="6" t="s">
        <v>136</v>
      </c>
      <c r="C489" s="16">
        <v>7</v>
      </c>
      <c r="D489" s="6" t="s">
        <v>138</v>
      </c>
      <c r="E489" s="7" t="s">
        <v>93</v>
      </c>
      <c r="F489" s="8">
        <v>13</v>
      </c>
      <c r="G489" s="8" t="s">
        <v>117</v>
      </c>
      <c r="H489" s="8">
        <f>VLOOKUP(E489,'[1]Master File'!$A:$F,5,0)*F489</f>
        <v>1170</v>
      </c>
      <c r="I489" s="8">
        <f>VLOOKUP($E489,'[1]Master File'!$A:$F,6,0)*$F489</f>
        <v>1497.6000000000001</v>
      </c>
    </row>
    <row r="490" spans="1:9" x14ac:dyDescent="0.3">
      <c r="A490" s="6">
        <v>44873</v>
      </c>
      <c r="B490" s="6" t="s">
        <v>136</v>
      </c>
      <c r="C490" s="16">
        <v>8</v>
      </c>
      <c r="D490" s="6" t="s">
        <v>138</v>
      </c>
      <c r="E490" s="7" t="s">
        <v>84</v>
      </c>
      <c r="F490" s="8">
        <v>11</v>
      </c>
      <c r="G490" s="8" t="s">
        <v>117</v>
      </c>
      <c r="H490" s="8">
        <f>VLOOKUP(E490,'[1]Master File'!$A:$F,5,0)*F490</f>
        <v>990</v>
      </c>
      <c r="I490" s="8">
        <f>VLOOKUP($E490,'[1]Master File'!$A:$F,6,0)*$F490</f>
        <v>1059.3</v>
      </c>
    </row>
    <row r="491" spans="1:9" x14ac:dyDescent="0.3">
      <c r="A491" s="6">
        <v>44873</v>
      </c>
      <c r="B491" s="6" t="s">
        <v>136</v>
      </c>
      <c r="C491" s="16">
        <v>8</v>
      </c>
      <c r="D491" s="6" t="s">
        <v>138</v>
      </c>
      <c r="E491" s="7" t="s">
        <v>48</v>
      </c>
      <c r="F491" s="8">
        <v>10</v>
      </c>
      <c r="G491" s="8" t="s">
        <v>115</v>
      </c>
      <c r="H491" s="8">
        <f>VLOOKUP(E491,'[1]Master File'!$A:$F,5,0)*F491</f>
        <v>1500</v>
      </c>
      <c r="I491" s="8">
        <f>VLOOKUP($E491,'[1]Master File'!$A:$F,6,0)*$F491</f>
        <v>2100</v>
      </c>
    </row>
    <row r="492" spans="1:9" x14ac:dyDescent="0.3">
      <c r="A492" s="6">
        <v>44874</v>
      </c>
      <c r="B492" s="6" t="s">
        <v>136</v>
      </c>
      <c r="C492" s="16">
        <v>9</v>
      </c>
      <c r="D492" s="6" t="s">
        <v>138</v>
      </c>
      <c r="E492" s="7" t="s">
        <v>66</v>
      </c>
      <c r="F492" s="8">
        <v>8</v>
      </c>
      <c r="G492" s="8" t="s">
        <v>117</v>
      </c>
      <c r="H492" s="8">
        <f>VLOOKUP(E492,'[1]Master File'!$A:$F,5,0)*F492</f>
        <v>384</v>
      </c>
      <c r="I492" s="8">
        <f>VLOOKUP($E492,'[1]Master File'!$A:$F,6,0)*$F492</f>
        <v>456.96000000000004</v>
      </c>
    </row>
    <row r="493" spans="1:9" x14ac:dyDescent="0.3">
      <c r="A493" s="6">
        <v>44875</v>
      </c>
      <c r="B493" s="6" t="s">
        <v>136</v>
      </c>
      <c r="C493" s="16">
        <v>10</v>
      </c>
      <c r="D493" s="6" t="s">
        <v>138</v>
      </c>
      <c r="E493" s="7" t="s">
        <v>46</v>
      </c>
      <c r="F493" s="8">
        <v>7</v>
      </c>
      <c r="G493" s="8" t="s">
        <v>115</v>
      </c>
      <c r="H493" s="8">
        <f>VLOOKUP(E493,'[1]Master File'!$A:$F,5,0)*F493</f>
        <v>259</v>
      </c>
      <c r="I493" s="8">
        <f>VLOOKUP($E493,'[1]Master File'!$A:$F,6,0)*$F493</f>
        <v>344.47</v>
      </c>
    </row>
    <row r="494" spans="1:9" x14ac:dyDescent="0.3">
      <c r="A494" s="6">
        <v>44878</v>
      </c>
      <c r="B494" s="6" t="s">
        <v>136</v>
      </c>
      <c r="C494" s="16">
        <v>13</v>
      </c>
      <c r="D494" s="6" t="s">
        <v>138</v>
      </c>
      <c r="E494" s="7" t="s">
        <v>66</v>
      </c>
      <c r="F494" s="8">
        <v>10</v>
      </c>
      <c r="G494" s="8" t="s">
        <v>117</v>
      </c>
      <c r="H494" s="8">
        <f>VLOOKUP(E494,'[1]Master File'!$A:$F,5,0)*F494</f>
        <v>480</v>
      </c>
      <c r="I494" s="8">
        <f>VLOOKUP($E494,'[1]Master File'!$A:$F,6,0)*$F494</f>
        <v>571.20000000000005</v>
      </c>
    </row>
    <row r="495" spans="1:9" x14ac:dyDescent="0.3">
      <c r="A495" s="6">
        <v>44879</v>
      </c>
      <c r="B495" s="6" t="s">
        <v>136</v>
      </c>
      <c r="C495" s="16">
        <v>14</v>
      </c>
      <c r="D495" s="6" t="s">
        <v>138</v>
      </c>
      <c r="E495" s="7" t="s">
        <v>10</v>
      </c>
      <c r="F495" s="8">
        <v>1</v>
      </c>
      <c r="G495" s="8" t="s">
        <v>117</v>
      </c>
      <c r="H495" s="8">
        <f>VLOOKUP(E495,'[1]Master File'!$A:$F,5,0)*F495</f>
        <v>105</v>
      </c>
      <c r="I495" s="8">
        <f>VLOOKUP($E495,'[1]Master File'!$A:$F,6,0)*$F495</f>
        <v>142.80000000000001</v>
      </c>
    </row>
    <row r="496" spans="1:9" x14ac:dyDescent="0.3">
      <c r="A496" s="6">
        <v>44880</v>
      </c>
      <c r="B496" s="6" t="s">
        <v>136</v>
      </c>
      <c r="C496" s="16">
        <v>15</v>
      </c>
      <c r="D496" s="6" t="s">
        <v>138</v>
      </c>
      <c r="E496" s="7" t="s">
        <v>34</v>
      </c>
      <c r="F496" s="8">
        <v>14</v>
      </c>
      <c r="G496" s="8" t="s">
        <v>117</v>
      </c>
      <c r="H496" s="8">
        <f>VLOOKUP(E496,'[1]Master File'!$A:$F,5,0)*F496</f>
        <v>1022</v>
      </c>
      <c r="I496" s="8">
        <f>VLOOKUP($E496,'[1]Master File'!$A:$F,6,0)*$F496</f>
        <v>1318.38</v>
      </c>
    </row>
    <row r="497" spans="1:9" x14ac:dyDescent="0.3">
      <c r="A497" s="6">
        <v>44881</v>
      </c>
      <c r="B497" s="6" t="s">
        <v>136</v>
      </c>
      <c r="C497" s="16">
        <v>16</v>
      </c>
      <c r="D497" s="6" t="s">
        <v>138</v>
      </c>
      <c r="E497" s="7" t="s">
        <v>44</v>
      </c>
      <c r="F497" s="8">
        <v>8</v>
      </c>
      <c r="G497" s="8" t="s">
        <v>115</v>
      </c>
      <c r="H497" s="8">
        <f>VLOOKUP(E497,'[1]Master File'!$A:$F,5,0)*F497</f>
        <v>1072</v>
      </c>
      <c r="I497" s="8">
        <f>VLOOKUP($E497,'[1]Master File'!$A:$F,6,0)*$F497</f>
        <v>1254.24</v>
      </c>
    </row>
    <row r="498" spans="1:9" x14ac:dyDescent="0.3">
      <c r="A498" s="6">
        <v>44883</v>
      </c>
      <c r="B498" s="6" t="s">
        <v>136</v>
      </c>
      <c r="C498" s="16">
        <v>18</v>
      </c>
      <c r="D498" s="6" t="s">
        <v>138</v>
      </c>
      <c r="E498" s="7" t="s">
        <v>80</v>
      </c>
      <c r="F498" s="8">
        <v>8</v>
      </c>
      <c r="G498" s="8" t="s">
        <v>117</v>
      </c>
      <c r="H498" s="8">
        <f>VLOOKUP(E498,'[1]Master File'!$A:$F,5,0)*F498</f>
        <v>440</v>
      </c>
      <c r="I498" s="8">
        <f>VLOOKUP($E498,'[1]Master File'!$A:$F,6,0)*$F498</f>
        <v>466.4</v>
      </c>
    </row>
    <row r="499" spans="1:9" x14ac:dyDescent="0.3">
      <c r="A499" s="6">
        <v>44886</v>
      </c>
      <c r="B499" s="6" t="s">
        <v>136</v>
      </c>
      <c r="C499" s="16">
        <v>21</v>
      </c>
      <c r="D499" s="6" t="s">
        <v>138</v>
      </c>
      <c r="E499" s="7" t="s">
        <v>50</v>
      </c>
      <c r="F499" s="8">
        <v>6</v>
      </c>
      <c r="G499" s="8" t="s">
        <v>117</v>
      </c>
      <c r="H499" s="8">
        <f>VLOOKUP(E499,'[1]Master File'!$A:$F,5,0)*F499</f>
        <v>366</v>
      </c>
      <c r="I499" s="8">
        <f>VLOOKUP($E499,'[1]Master File'!$A:$F,6,0)*$F499</f>
        <v>457.5</v>
      </c>
    </row>
    <row r="500" spans="1:9" x14ac:dyDescent="0.3">
      <c r="A500" s="6">
        <v>44888</v>
      </c>
      <c r="B500" s="6" t="s">
        <v>136</v>
      </c>
      <c r="C500" s="16">
        <v>23</v>
      </c>
      <c r="D500" s="6" t="s">
        <v>138</v>
      </c>
      <c r="E500" s="7" t="s">
        <v>84</v>
      </c>
      <c r="F500" s="8">
        <v>12</v>
      </c>
      <c r="G500" s="8" t="s">
        <v>115</v>
      </c>
      <c r="H500" s="8">
        <f>VLOOKUP(E500,'[1]Master File'!$A:$F,5,0)*F500</f>
        <v>1080</v>
      </c>
      <c r="I500" s="8">
        <f>VLOOKUP($E500,'[1]Master File'!$A:$F,6,0)*$F500</f>
        <v>1155.5999999999999</v>
      </c>
    </row>
    <row r="501" spans="1:9" x14ac:dyDescent="0.3">
      <c r="A501" s="6">
        <v>44890</v>
      </c>
      <c r="B501" s="6" t="s">
        <v>136</v>
      </c>
      <c r="C501" s="16">
        <v>25</v>
      </c>
      <c r="D501" s="6" t="s">
        <v>138</v>
      </c>
      <c r="E501" s="7" t="s">
        <v>14</v>
      </c>
      <c r="F501" s="8">
        <v>5</v>
      </c>
      <c r="G501" s="8" t="s">
        <v>117</v>
      </c>
      <c r="H501" s="8">
        <f>VLOOKUP(E501,'[1]Master File'!$A:$F,5,0)*F501</f>
        <v>220</v>
      </c>
      <c r="I501" s="8">
        <f>VLOOKUP($E501,'[1]Master File'!$A:$F,6,0)*$F501</f>
        <v>244.20000000000002</v>
      </c>
    </row>
    <row r="502" spans="1:9" x14ac:dyDescent="0.3">
      <c r="A502" s="6">
        <v>44891</v>
      </c>
      <c r="B502" s="6" t="s">
        <v>136</v>
      </c>
      <c r="C502" s="16">
        <v>26</v>
      </c>
      <c r="D502" s="6" t="s">
        <v>138</v>
      </c>
      <c r="E502" s="7" t="s">
        <v>76</v>
      </c>
      <c r="F502" s="8">
        <v>5</v>
      </c>
      <c r="G502" s="8" t="s">
        <v>115</v>
      </c>
      <c r="H502" s="8">
        <f>VLOOKUP(E502,'[1]Master File'!$A:$F,5,0)*F502</f>
        <v>445</v>
      </c>
      <c r="I502" s="8">
        <f>VLOOKUP($E502,'[1]Master File'!$A:$F,6,0)*$F502</f>
        <v>587.4</v>
      </c>
    </row>
    <row r="503" spans="1:9" x14ac:dyDescent="0.3">
      <c r="A503" s="6">
        <v>44892</v>
      </c>
      <c r="B503" s="6" t="s">
        <v>136</v>
      </c>
      <c r="C503" s="16">
        <v>27</v>
      </c>
      <c r="D503" s="6" t="s">
        <v>138</v>
      </c>
      <c r="E503" s="7" t="s">
        <v>80</v>
      </c>
      <c r="F503" s="8">
        <v>15</v>
      </c>
      <c r="G503" s="8" t="s">
        <v>115</v>
      </c>
      <c r="H503" s="8">
        <f>VLOOKUP(E503,'[1]Master File'!$A:$F,5,0)*F503</f>
        <v>825</v>
      </c>
      <c r="I503" s="8">
        <f>VLOOKUP($E503,'[1]Master File'!$A:$F,6,0)*$F503</f>
        <v>874.5</v>
      </c>
    </row>
    <row r="504" spans="1:9" x14ac:dyDescent="0.3">
      <c r="A504" s="6">
        <v>44893</v>
      </c>
      <c r="B504" s="6" t="s">
        <v>136</v>
      </c>
      <c r="C504" s="16">
        <v>28</v>
      </c>
      <c r="D504" s="6" t="s">
        <v>138</v>
      </c>
      <c r="E504" s="7" t="s">
        <v>74</v>
      </c>
      <c r="F504" s="8">
        <v>8</v>
      </c>
      <c r="G504" s="8" t="s">
        <v>117</v>
      </c>
      <c r="H504" s="8">
        <f>VLOOKUP(E504,'[1]Master File'!$A:$F,5,0)*F504</f>
        <v>744</v>
      </c>
      <c r="I504" s="8">
        <f>VLOOKUP($E504,'[1]Master File'!$A:$F,6,0)*$F504</f>
        <v>833.28</v>
      </c>
    </row>
    <row r="505" spans="1:9" x14ac:dyDescent="0.3">
      <c r="A505" s="6">
        <v>44895</v>
      </c>
      <c r="B505" s="6" t="s">
        <v>136</v>
      </c>
      <c r="C505" s="16">
        <v>30</v>
      </c>
      <c r="D505" s="6" t="s">
        <v>138</v>
      </c>
      <c r="E505" s="7" t="s">
        <v>40</v>
      </c>
      <c r="F505" s="8">
        <v>2</v>
      </c>
      <c r="G505" s="8" t="s">
        <v>115</v>
      </c>
      <c r="H505" s="8">
        <f>VLOOKUP(E505,'[1]Master File'!$A:$F,5,0)*F505</f>
        <v>24</v>
      </c>
      <c r="I505" s="8">
        <f>VLOOKUP($E505,'[1]Master File'!$A:$F,6,0)*$F505</f>
        <v>31.439999999999998</v>
      </c>
    </row>
    <row r="506" spans="1:9" x14ac:dyDescent="0.3">
      <c r="A506" s="6">
        <v>44898</v>
      </c>
      <c r="B506" s="6" t="s">
        <v>137</v>
      </c>
      <c r="C506" s="16">
        <v>3</v>
      </c>
      <c r="D506" s="6" t="s">
        <v>138</v>
      </c>
      <c r="E506" s="7" t="s">
        <v>68</v>
      </c>
      <c r="F506" s="8">
        <v>5</v>
      </c>
      <c r="G506" s="8" t="s">
        <v>117</v>
      </c>
      <c r="H506" s="8">
        <f>VLOOKUP(E506,'[1]Master File'!$A:$F,5,0)*F506</f>
        <v>185</v>
      </c>
      <c r="I506" s="8">
        <f>VLOOKUP($E506,'[1]Master File'!$A:$F,6,0)*$F506</f>
        <v>209.05</v>
      </c>
    </row>
    <row r="507" spans="1:9" x14ac:dyDescent="0.3">
      <c r="A507" s="6">
        <v>44899</v>
      </c>
      <c r="B507" s="6" t="s">
        <v>137</v>
      </c>
      <c r="C507" s="16">
        <v>4</v>
      </c>
      <c r="D507" s="6" t="s">
        <v>138</v>
      </c>
      <c r="E507" s="7" t="s">
        <v>63</v>
      </c>
      <c r="F507" s="8">
        <v>10</v>
      </c>
      <c r="G507" s="8" t="s">
        <v>117</v>
      </c>
      <c r="H507" s="8">
        <f>VLOOKUP(E507,'[1]Master File'!$A:$F,5,0)*F507</f>
        <v>180</v>
      </c>
      <c r="I507" s="8">
        <f>VLOOKUP($E507,'[1]Master File'!$A:$F,6,0)*$F507</f>
        <v>246.6</v>
      </c>
    </row>
    <row r="508" spans="1:9" x14ac:dyDescent="0.3">
      <c r="A508" s="6">
        <v>44899</v>
      </c>
      <c r="B508" s="6" t="s">
        <v>137</v>
      </c>
      <c r="C508" s="16">
        <v>4</v>
      </c>
      <c r="D508" s="6" t="s">
        <v>138</v>
      </c>
      <c r="E508" s="7" t="s">
        <v>101</v>
      </c>
      <c r="F508" s="8">
        <v>15</v>
      </c>
      <c r="G508" s="8" t="s">
        <v>117</v>
      </c>
      <c r="H508" s="8">
        <f>VLOOKUP(E508,'[1]Master File'!$A:$F,5,0)*F508</f>
        <v>1140</v>
      </c>
      <c r="I508" s="8">
        <f>VLOOKUP($E508,'[1]Master File'!$A:$F,6,0)*$F508</f>
        <v>1231.2</v>
      </c>
    </row>
    <row r="509" spans="1:9" x14ac:dyDescent="0.3">
      <c r="A509" s="6">
        <v>44902</v>
      </c>
      <c r="B509" s="6" t="s">
        <v>137</v>
      </c>
      <c r="C509" s="16">
        <v>7</v>
      </c>
      <c r="D509" s="6" t="s">
        <v>138</v>
      </c>
      <c r="E509" s="7" t="s">
        <v>89</v>
      </c>
      <c r="F509" s="8">
        <v>12</v>
      </c>
      <c r="G509" s="8" t="s">
        <v>117</v>
      </c>
      <c r="H509" s="8">
        <f>VLOOKUP(E509,'[1]Master File'!$A:$F,5,0)*F509</f>
        <v>864</v>
      </c>
      <c r="I509" s="8">
        <f>VLOOKUP($E509,'[1]Master File'!$A:$F,6,0)*$F509</f>
        <v>959.04</v>
      </c>
    </row>
    <row r="510" spans="1:9" x14ac:dyDescent="0.3">
      <c r="A510" s="6">
        <v>44902</v>
      </c>
      <c r="B510" s="6" t="s">
        <v>137</v>
      </c>
      <c r="C510" s="16">
        <v>7</v>
      </c>
      <c r="D510" s="6" t="s">
        <v>138</v>
      </c>
      <c r="E510" s="7" t="s">
        <v>42</v>
      </c>
      <c r="F510" s="8">
        <v>13</v>
      </c>
      <c r="G510" s="8" t="s">
        <v>115</v>
      </c>
      <c r="H510" s="8">
        <f>VLOOKUP(E510,'[1]Master File'!$A:$F,5,0)*F510</f>
        <v>169</v>
      </c>
      <c r="I510" s="8">
        <f>VLOOKUP($E510,'[1]Master File'!$A:$F,6,0)*$F510</f>
        <v>216.32</v>
      </c>
    </row>
    <row r="511" spans="1:9" x14ac:dyDescent="0.3">
      <c r="A511" s="6">
        <v>44902</v>
      </c>
      <c r="B511" s="6" t="s">
        <v>137</v>
      </c>
      <c r="C511" s="16">
        <v>7</v>
      </c>
      <c r="D511" s="6" t="s">
        <v>138</v>
      </c>
      <c r="E511" s="7" t="s">
        <v>89</v>
      </c>
      <c r="F511" s="8">
        <v>5</v>
      </c>
      <c r="G511" s="8" t="s">
        <v>117</v>
      </c>
      <c r="H511" s="8">
        <f>VLOOKUP(E511,'[1]Master File'!$A:$F,5,0)*F511</f>
        <v>360</v>
      </c>
      <c r="I511" s="8">
        <f>VLOOKUP($E511,'[1]Master File'!$A:$F,6,0)*$F511</f>
        <v>399.6</v>
      </c>
    </row>
    <row r="512" spans="1:9" x14ac:dyDescent="0.3">
      <c r="A512" s="6">
        <v>44906</v>
      </c>
      <c r="B512" s="6" t="s">
        <v>137</v>
      </c>
      <c r="C512" s="16">
        <v>11</v>
      </c>
      <c r="D512" s="6" t="s">
        <v>138</v>
      </c>
      <c r="E512" s="7" t="s">
        <v>66</v>
      </c>
      <c r="F512" s="8">
        <v>5</v>
      </c>
      <c r="G512" s="8" t="s">
        <v>115</v>
      </c>
      <c r="H512" s="8">
        <f>VLOOKUP(E512,'[1]Master File'!$A:$F,5,0)*F512</f>
        <v>240</v>
      </c>
      <c r="I512" s="8">
        <f>VLOOKUP($E512,'[1]Master File'!$A:$F,6,0)*$F512</f>
        <v>285.60000000000002</v>
      </c>
    </row>
    <row r="513" spans="1:9" x14ac:dyDescent="0.3">
      <c r="A513" s="6">
        <v>44906</v>
      </c>
      <c r="B513" s="6" t="s">
        <v>137</v>
      </c>
      <c r="C513" s="16">
        <v>11</v>
      </c>
      <c r="D513" s="6" t="s">
        <v>138</v>
      </c>
      <c r="E513" s="7" t="s">
        <v>36</v>
      </c>
      <c r="F513" s="8">
        <v>9</v>
      </c>
      <c r="G513" s="8" t="s">
        <v>115</v>
      </c>
      <c r="H513" s="8">
        <f>VLOOKUP(E513,'[1]Master File'!$A:$F,5,0)*F513</f>
        <v>1008</v>
      </c>
      <c r="I513" s="8">
        <f>VLOOKUP($E513,'[1]Master File'!$A:$F,6,0)*$F513</f>
        <v>1098.72</v>
      </c>
    </row>
    <row r="514" spans="1:9" x14ac:dyDescent="0.3">
      <c r="A514" s="6">
        <v>44906</v>
      </c>
      <c r="B514" s="6" t="s">
        <v>137</v>
      </c>
      <c r="C514" s="16">
        <v>11</v>
      </c>
      <c r="D514" s="6" t="s">
        <v>138</v>
      </c>
      <c r="E514" s="7" t="s">
        <v>38</v>
      </c>
      <c r="F514" s="8">
        <v>10</v>
      </c>
      <c r="G514" s="8" t="s">
        <v>117</v>
      </c>
      <c r="H514" s="8">
        <f>VLOOKUP(E514,'[1]Master File'!$A:$F,5,0)*F514</f>
        <v>1120</v>
      </c>
      <c r="I514" s="8">
        <f>VLOOKUP($E514,'[1]Master File'!$A:$F,6,0)*$F514</f>
        <v>1467.2</v>
      </c>
    </row>
    <row r="515" spans="1:9" x14ac:dyDescent="0.3">
      <c r="A515" s="6">
        <v>44907</v>
      </c>
      <c r="B515" s="6" t="s">
        <v>137</v>
      </c>
      <c r="C515" s="16">
        <v>12</v>
      </c>
      <c r="D515" s="6" t="s">
        <v>138</v>
      </c>
      <c r="E515" s="7" t="s">
        <v>72</v>
      </c>
      <c r="F515" s="8">
        <v>9</v>
      </c>
      <c r="G515" s="8" t="s">
        <v>117</v>
      </c>
      <c r="H515" s="8">
        <f>VLOOKUP(E515,'[1]Master File'!$A:$F,5,0)*F515</f>
        <v>1332</v>
      </c>
      <c r="I515" s="8">
        <f>VLOOKUP($E515,'[1]Master File'!$A:$F,6,0)*$F515</f>
        <v>1811.52</v>
      </c>
    </row>
    <row r="516" spans="1:9" x14ac:dyDescent="0.3">
      <c r="A516" s="6">
        <v>44907</v>
      </c>
      <c r="B516" s="6" t="s">
        <v>137</v>
      </c>
      <c r="C516" s="16">
        <v>12</v>
      </c>
      <c r="D516" s="6" t="s">
        <v>138</v>
      </c>
      <c r="E516" s="7" t="s">
        <v>95</v>
      </c>
      <c r="F516" s="8">
        <v>10</v>
      </c>
      <c r="G516" s="8" t="s">
        <v>115</v>
      </c>
      <c r="H516" s="8">
        <f>VLOOKUP(E516,'[1]Master File'!$A:$F,5,0)*F516</f>
        <v>1380</v>
      </c>
      <c r="I516" s="8">
        <f>VLOOKUP($E516,'[1]Master File'!$A:$F,6,0)*$F516</f>
        <v>1738.8</v>
      </c>
    </row>
    <row r="517" spans="1:9" x14ac:dyDescent="0.3">
      <c r="A517" s="6">
        <v>44909</v>
      </c>
      <c r="B517" s="6" t="s">
        <v>137</v>
      </c>
      <c r="C517" s="16">
        <v>14</v>
      </c>
      <c r="D517" s="6" t="s">
        <v>138</v>
      </c>
      <c r="E517" s="7" t="s">
        <v>17</v>
      </c>
      <c r="F517" s="8">
        <v>4</v>
      </c>
      <c r="G517" s="8" t="s">
        <v>117</v>
      </c>
      <c r="H517" s="8">
        <f>VLOOKUP(E517,'[1]Master File'!$A:$F,5,0)*F517</f>
        <v>532</v>
      </c>
      <c r="I517" s="8">
        <f>VLOOKUP($E517,'[1]Master File'!$A:$F,6,0)*$F517</f>
        <v>622.44000000000005</v>
      </c>
    </row>
    <row r="518" spans="1:9" x14ac:dyDescent="0.3">
      <c r="A518" s="6">
        <v>44910</v>
      </c>
      <c r="B518" s="6" t="s">
        <v>137</v>
      </c>
      <c r="C518" s="16">
        <v>15</v>
      </c>
      <c r="D518" s="6" t="s">
        <v>138</v>
      </c>
      <c r="E518" s="7" t="s">
        <v>26</v>
      </c>
      <c r="F518" s="8">
        <v>13</v>
      </c>
      <c r="G518" s="8" t="s">
        <v>115</v>
      </c>
      <c r="H518" s="8">
        <f>VLOOKUP(E518,'[1]Master File'!$A:$F,5,0)*F518</f>
        <v>78</v>
      </c>
      <c r="I518" s="8">
        <f>VLOOKUP($E518,'[1]Master File'!$A:$F,6,0)*$F518</f>
        <v>102.17999999999999</v>
      </c>
    </row>
    <row r="519" spans="1:9" x14ac:dyDescent="0.3">
      <c r="A519" s="6">
        <v>44914</v>
      </c>
      <c r="B519" s="6" t="s">
        <v>137</v>
      </c>
      <c r="C519" s="16">
        <v>19</v>
      </c>
      <c r="D519" s="6" t="s">
        <v>138</v>
      </c>
      <c r="E519" s="7" t="s">
        <v>101</v>
      </c>
      <c r="F519" s="8">
        <v>7</v>
      </c>
      <c r="G519" s="8" t="s">
        <v>115</v>
      </c>
      <c r="H519" s="8">
        <f>VLOOKUP(E519,'[1]Master File'!$A:$F,5,0)*F519</f>
        <v>532</v>
      </c>
      <c r="I519" s="8">
        <f>VLOOKUP($E519,'[1]Master File'!$A:$F,6,0)*$F519</f>
        <v>574.55999999999995</v>
      </c>
    </row>
    <row r="520" spans="1:9" x14ac:dyDescent="0.3">
      <c r="A520" s="6">
        <v>44914</v>
      </c>
      <c r="B520" s="6" t="s">
        <v>137</v>
      </c>
      <c r="C520" s="16">
        <v>19</v>
      </c>
      <c r="D520" s="6" t="s">
        <v>138</v>
      </c>
      <c r="E520" s="7" t="s">
        <v>32</v>
      </c>
      <c r="F520" s="8">
        <v>14</v>
      </c>
      <c r="G520" s="8" t="s">
        <v>117</v>
      </c>
      <c r="H520" s="8">
        <f>VLOOKUP(E520,'[1]Master File'!$A:$F,5,0)*F520</f>
        <v>616</v>
      </c>
      <c r="I520" s="8">
        <f>VLOOKUP($E520,'[1]Master File'!$A:$F,6,0)*$F520</f>
        <v>677.6</v>
      </c>
    </row>
    <row r="521" spans="1:9" x14ac:dyDescent="0.3">
      <c r="A521" s="6">
        <v>44914</v>
      </c>
      <c r="B521" s="6" t="s">
        <v>137</v>
      </c>
      <c r="C521" s="16">
        <v>19</v>
      </c>
      <c r="D521" s="6" t="s">
        <v>138</v>
      </c>
      <c r="E521" s="7" t="s">
        <v>26</v>
      </c>
      <c r="F521" s="8">
        <v>11</v>
      </c>
      <c r="G521" s="8" t="s">
        <v>115</v>
      </c>
      <c r="H521" s="8">
        <f>VLOOKUP(E521,'[1]Master File'!$A:$F,5,0)*F521</f>
        <v>66</v>
      </c>
      <c r="I521" s="8">
        <f>VLOOKUP($E521,'[1]Master File'!$A:$F,6,0)*$F521</f>
        <v>86.46</v>
      </c>
    </row>
    <row r="522" spans="1:9" x14ac:dyDescent="0.3">
      <c r="A522" s="6">
        <v>44916</v>
      </c>
      <c r="B522" s="6" t="s">
        <v>137</v>
      </c>
      <c r="C522" s="16">
        <v>21</v>
      </c>
      <c r="D522" s="6" t="s">
        <v>138</v>
      </c>
      <c r="E522" s="7" t="s">
        <v>20</v>
      </c>
      <c r="F522" s="8">
        <v>10</v>
      </c>
      <c r="G522" s="8" t="s">
        <v>115</v>
      </c>
      <c r="H522" s="8">
        <f>VLOOKUP(E522,'[1]Master File'!$A:$F,5,0)*F522</f>
        <v>750</v>
      </c>
      <c r="I522" s="8">
        <f>VLOOKUP($E522,'[1]Master File'!$A:$F,6,0)*$F522</f>
        <v>855</v>
      </c>
    </row>
    <row r="523" spans="1:9" x14ac:dyDescent="0.3">
      <c r="A523" s="6">
        <v>44924</v>
      </c>
      <c r="B523" s="6" t="s">
        <v>137</v>
      </c>
      <c r="C523" s="16">
        <v>29</v>
      </c>
      <c r="D523" s="6" t="s">
        <v>138</v>
      </c>
      <c r="E523" s="7" t="s">
        <v>24</v>
      </c>
      <c r="F523" s="8">
        <v>15</v>
      </c>
      <c r="G523" s="8" t="s">
        <v>115</v>
      </c>
      <c r="H523" s="8">
        <f>VLOOKUP(E523,'[1]Master File'!$A:$F,5,0)*F523</f>
        <v>1245</v>
      </c>
      <c r="I523" s="8">
        <f>VLOOKUP($E523,'[1]Master File'!$A:$F,6,0)*$F523</f>
        <v>1419.3000000000002</v>
      </c>
    </row>
    <row r="524" spans="1:9" x14ac:dyDescent="0.3">
      <c r="A524" s="6">
        <v>44924</v>
      </c>
      <c r="B524" s="6" t="s">
        <v>137</v>
      </c>
      <c r="C524" s="16">
        <v>29</v>
      </c>
      <c r="D524" s="6" t="s">
        <v>138</v>
      </c>
      <c r="E524" s="7" t="s">
        <v>97</v>
      </c>
      <c r="F524" s="8">
        <v>1</v>
      </c>
      <c r="G524" s="8" t="s">
        <v>117</v>
      </c>
      <c r="H524" s="8">
        <f>VLOOKUP(E524,'[1]Master File'!$A:$F,5,0)*F524</f>
        <v>120</v>
      </c>
      <c r="I524" s="8">
        <f>VLOOKUP($E524,'[1]Master File'!$A:$F,6,0)*$F524</f>
        <v>162</v>
      </c>
    </row>
    <row r="525" spans="1:9" x14ac:dyDescent="0.3">
      <c r="A525" s="6">
        <v>44925</v>
      </c>
      <c r="B525" s="6" t="s">
        <v>137</v>
      </c>
      <c r="C525" s="16">
        <v>30</v>
      </c>
      <c r="D525" s="6" t="s">
        <v>138</v>
      </c>
      <c r="E525" s="7" t="s">
        <v>95</v>
      </c>
      <c r="F525" s="8">
        <v>14</v>
      </c>
      <c r="G525" s="8" t="s">
        <v>115</v>
      </c>
      <c r="H525" s="8">
        <f>VLOOKUP(E525,'[1]Master File'!$A:$F,5,0)*F525</f>
        <v>1932</v>
      </c>
      <c r="I525" s="8">
        <f>VLOOKUP($E525,'[1]Master File'!$A:$F,6,0)*$F525</f>
        <v>2434.3199999999997</v>
      </c>
    </row>
    <row r="526" spans="1:9" x14ac:dyDescent="0.3">
      <c r="A526" s="6">
        <v>44926</v>
      </c>
      <c r="B526" s="6" t="s">
        <v>137</v>
      </c>
      <c r="C526" s="16">
        <v>31</v>
      </c>
      <c r="D526" s="6" t="s">
        <v>138</v>
      </c>
      <c r="E526" s="7" t="s">
        <v>78</v>
      </c>
      <c r="F526" s="8">
        <v>12</v>
      </c>
      <c r="G526" s="8" t="s">
        <v>115</v>
      </c>
      <c r="H526" s="8">
        <f>VLOOKUP(E526,'[1]Master File'!$A:$F,5,0)*F526</f>
        <v>1140</v>
      </c>
      <c r="I526" s="8">
        <f>VLOOKUP($E526,'[1]Master File'!$A:$F,6,0)*$F526</f>
        <v>1436.4</v>
      </c>
    </row>
    <row r="527" spans="1:9" x14ac:dyDescent="0.3">
      <c r="A527" s="6">
        <v>44926</v>
      </c>
      <c r="B527" s="6" t="s">
        <v>137</v>
      </c>
      <c r="C527" s="16">
        <v>31</v>
      </c>
      <c r="D527" s="6" t="s">
        <v>138</v>
      </c>
      <c r="E527" s="7" t="s">
        <v>32</v>
      </c>
      <c r="F527" s="8">
        <v>6</v>
      </c>
      <c r="G527" s="8" t="s">
        <v>115</v>
      </c>
      <c r="H527" s="8">
        <f>VLOOKUP(E527,'[1]Master File'!$A:$F,5,0)*F527</f>
        <v>264</v>
      </c>
      <c r="I527" s="8">
        <f>VLOOKUP($E527,'[1]Master File'!$A:$F,6,0)*$F527</f>
        <v>290.39999999999998</v>
      </c>
    </row>
    <row r="528" spans="1:9" x14ac:dyDescent="0.3">
      <c r="A528" s="6">
        <v>44926</v>
      </c>
      <c r="B528" s="6" t="s">
        <v>137</v>
      </c>
      <c r="C528" s="16">
        <v>31</v>
      </c>
      <c r="D528" s="6" t="s">
        <v>138</v>
      </c>
      <c r="E528" s="7" t="s">
        <v>32</v>
      </c>
      <c r="F528" s="8">
        <v>3</v>
      </c>
      <c r="G528" s="8" t="s">
        <v>117</v>
      </c>
      <c r="H528" s="8">
        <f>VLOOKUP(E528,'[1]Master File'!$A:$F,5,0)*F528</f>
        <v>132</v>
      </c>
      <c r="I528" s="8">
        <f>VLOOKUP($E528,'[1]Master File'!$A:$F,6,0)*$F528</f>
        <v>145.19999999999999</v>
      </c>
    </row>
  </sheetData>
  <dataValidations count="1">
    <dataValidation type="whole" allowBlank="1" showInputMessage="1" showErrorMessage="1" sqref="F2:F528" xr:uid="{D596C487-1BCB-486E-AED5-C40AE30A98DF}">
      <formula1>1</formula1>
      <formula2>1000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workbookViewId="0">
      <selection activeCell="J11" sqref="J11"/>
    </sheetView>
  </sheetViews>
  <sheetFormatPr defaultRowHeight="14.4" x14ac:dyDescent="0.3"/>
  <cols>
    <col min="3" max="3" width="10.33203125" customWidth="1"/>
    <col min="5" max="5" width="12.77734375" customWidth="1"/>
    <col min="6" max="6" width="13.33203125" customWidth="1"/>
  </cols>
  <sheetData>
    <row r="1" spans="1:6" x14ac:dyDescent="0.3">
      <c r="A1" s="1" t="s">
        <v>0</v>
      </c>
      <c r="B1" s="1" t="s">
        <v>1</v>
      </c>
      <c r="C1" s="1" t="s">
        <v>2</v>
      </c>
      <c r="D1" s="1" t="s">
        <v>3</v>
      </c>
      <c r="E1" s="1" t="s">
        <v>4</v>
      </c>
      <c r="F1" s="1" t="s">
        <v>5</v>
      </c>
    </row>
    <row r="2" spans="1:6" x14ac:dyDescent="0.3">
      <c r="A2" s="2" t="s">
        <v>6</v>
      </c>
      <c r="B2" s="2" t="s">
        <v>7</v>
      </c>
      <c r="C2" s="2" t="s">
        <v>8</v>
      </c>
      <c r="D2" s="2" t="s">
        <v>9</v>
      </c>
      <c r="E2" s="2">
        <v>98</v>
      </c>
      <c r="F2" s="2">
        <v>103.88</v>
      </c>
    </row>
    <row r="3" spans="1:6" x14ac:dyDescent="0.3">
      <c r="A3" s="2" t="s">
        <v>10</v>
      </c>
      <c r="B3" s="2" t="s">
        <v>11</v>
      </c>
      <c r="C3" s="2" t="s">
        <v>8</v>
      </c>
      <c r="D3" s="2" t="s">
        <v>9</v>
      </c>
      <c r="E3" s="2">
        <v>105</v>
      </c>
      <c r="F3" s="2">
        <v>142.80000000000001</v>
      </c>
    </row>
    <row r="4" spans="1:6" x14ac:dyDescent="0.3">
      <c r="A4" s="2" t="s">
        <v>12</v>
      </c>
      <c r="B4" s="2" t="s">
        <v>13</v>
      </c>
      <c r="C4" s="2" t="s">
        <v>8</v>
      </c>
      <c r="D4" s="2" t="s">
        <v>9</v>
      </c>
      <c r="E4" s="2">
        <v>71</v>
      </c>
      <c r="F4" s="2">
        <v>80.94</v>
      </c>
    </row>
    <row r="5" spans="1:6" x14ac:dyDescent="0.3">
      <c r="A5" s="2" t="s">
        <v>14</v>
      </c>
      <c r="B5" s="2" t="s">
        <v>15</v>
      </c>
      <c r="C5" s="2" t="s">
        <v>8</v>
      </c>
      <c r="D5" s="2" t="s">
        <v>16</v>
      </c>
      <c r="E5" s="2">
        <v>44</v>
      </c>
      <c r="F5" s="2">
        <v>48.84</v>
      </c>
    </row>
    <row r="6" spans="1:6" x14ac:dyDescent="0.3">
      <c r="A6" s="2" t="s">
        <v>17</v>
      </c>
      <c r="B6" s="2" t="s">
        <v>18</v>
      </c>
      <c r="C6" s="2" t="s">
        <v>8</v>
      </c>
      <c r="D6" s="2" t="s">
        <v>19</v>
      </c>
      <c r="E6" s="2">
        <v>133</v>
      </c>
      <c r="F6" s="2">
        <v>155.61000000000001</v>
      </c>
    </row>
    <row r="7" spans="1:6" x14ac:dyDescent="0.3">
      <c r="A7" s="2" t="s">
        <v>20</v>
      </c>
      <c r="B7" s="2" t="s">
        <v>21</v>
      </c>
      <c r="C7" s="2" t="s">
        <v>8</v>
      </c>
      <c r="D7" s="2" t="s">
        <v>9</v>
      </c>
      <c r="E7" s="2">
        <v>75</v>
      </c>
      <c r="F7" s="2">
        <v>85.5</v>
      </c>
    </row>
    <row r="8" spans="1:6" x14ac:dyDescent="0.3">
      <c r="A8" s="2" t="s">
        <v>22</v>
      </c>
      <c r="B8" s="2" t="s">
        <v>23</v>
      </c>
      <c r="C8" s="2" t="s">
        <v>8</v>
      </c>
      <c r="D8" s="2" t="s">
        <v>16</v>
      </c>
      <c r="E8" s="2">
        <v>43</v>
      </c>
      <c r="F8" s="2">
        <v>47.730000000000004</v>
      </c>
    </row>
    <row r="9" spans="1:6" x14ac:dyDescent="0.3">
      <c r="A9" s="2" t="s">
        <v>24</v>
      </c>
      <c r="B9" s="2" t="s">
        <v>25</v>
      </c>
      <c r="C9" s="2" t="s">
        <v>8</v>
      </c>
      <c r="D9" s="2" t="s">
        <v>9</v>
      </c>
      <c r="E9" s="2">
        <v>83</v>
      </c>
      <c r="F9" s="2">
        <v>94.62</v>
      </c>
    </row>
    <row r="10" spans="1:6" x14ac:dyDescent="0.3">
      <c r="A10" s="2" t="s">
        <v>26</v>
      </c>
      <c r="B10" s="2" t="s">
        <v>27</v>
      </c>
      <c r="C10" s="2" t="s">
        <v>8</v>
      </c>
      <c r="D10" s="2" t="s">
        <v>28</v>
      </c>
      <c r="E10" s="2">
        <v>6</v>
      </c>
      <c r="F10" s="2">
        <v>7.8599999999999994</v>
      </c>
    </row>
    <row r="11" spans="1:6" x14ac:dyDescent="0.3">
      <c r="A11" s="2" t="s">
        <v>29</v>
      </c>
      <c r="B11" s="2" t="s">
        <v>30</v>
      </c>
      <c r="C11" s="2" t="s">
        <v>31</v>
      </c>
      <c r="D11" s="2" t="s">
        <v>19</v>
      </c>
      <c r="E11" s="2">
        <v>148</v>
      </c>
      <c r="F11" s="2">
        <v>164.28</v>
      </c>
    </row>
    <row r="12" spans="1:6" x14ac:dyDescent="0.3">
      <c r="A12" s="2" t="s">
        <v>32</v>
      </c>
      <c r="B12" s="2" t="s">
        <v>33</v>
      </c>
      <c r="C12" s="2" t="s">
        <v>31</v>
      </c>
      <c r="D12" s="2" t="s">
        <v>16</v>
      </c>
      <c r="E12" s="2">
        <v>44</v>
      </c>
      <c r="F12" s="2">
        <v>48.4</v>
      </c>
    </row>
    <row r="13" spans="1:6" x14ac:dyDescent="0.3">
      <c r="A13" s="2" t="s">
        <v>34</v>
      </c>
      <c r="B13" s="2" t="s">
        <v>35</v>
      </c>
      <c r="C13" s="2" t="s">
        <v>31</v>
      </c>
      <c r="D13" s="2" t="s">
        <v>9</v>
      </c>
      <c r="E13" s="2">
        <v>73</v>
      </c>
      <c r="F13" s="2">
        <v>94.17</v>
      </c>
    </row>
    <row r="14" spans="1:6" x14ac:dyDescent="0.3">
      <c r="A14" s="2" t="s">
        <v>36</v>
      </c>
      <c r="B14" s="2" t="s">
        <v>37</v>
      </c>
      <c r="C14" s="2" t="s">
        <v>31</v>
      </c>
      <c r="D14" s="2" t="s">
        <v>9</v>
      </c>
      <c r="E14" s="2">
        <v>112</v>
      </c>
      <c r="F14" s="2">
        <v>122.08</v>
      </c>
    </row>
    <row r="15" spans="1:6" x14ac:dyDescent="0.3">
      <c r="A15" s="2" t="s">
        <v>38</v>
      </c>
      <c r="B15" s="2" t="s">
        <v>39</v>
      </c>
      <c r="C15" s="2" t="s">
        <v>31</v>
      </c>
      <c r="D15" s="2" t="s">
        <v>9</v>
      </c>
      <c r="E15" s="2">
        <v>112</v>
      </c>
      <c r="F15" s="2">
        <v>146.72</v>
      </c>
    </row>
    <row r="16" spans="1:6" x14ac:dyDescent="0.3">
      <c r="A16" s="2" t="s">
        <v>40</v>
      </c>
      <c r="B16" s="2" t="s">
        <v>41</v>
      </c>
      <c r="C16" s="2" t="s">
        <v>31</v>
      </c>
      <c r="D16" s="2" t="s">
        <v>28</v>
      </c>
      <c r="E16" s="2">
        <v>12</v>
      </c>
      <c r="F16" s="2">
        <v>15.719999999999999</v>
      </c>
    </row>
    <row r="17" spans="1:6" x14ac:dyDescent="0.3">
      <c r="A17" s="2" t="s">
        <v>42</v>
      </c>
      <c r="B17" s="2" t="s">
        <v>43</v>
      </c>
      <c r="C17" s="2" t="s">
        <v>31</v>
      </c>
      <c r="D17" s="2" t="s">
        <v>28</v>
      </c>
      <c r="E17" s="2">
        <v>13</v>
      </c>
      <c r="F17" s="2">
        <v>16.64</v>
      </c>
    </row>
    <row r="18" spans="1:6" x14ac:dyDescent="0.3">
      <c r="A18" s="2" t="s">
        <v>44</v>
      </c>
      <c r="B18" s="2" t="s">
        <v>45</v>
      </c>
      <c r="C18" s="2" t="s">
        <v>31</v>
      </c>
      <c r="D18" s="2" t="s">
        <v>19</v>
      </c>
      <c r="E18" s="2">
        <v>134</v>
      </c>
      <c r="F18" s="2">
        <v>156.78</v>
      </c>
    </row>
    <row r="19" spans="1:6" x14ac:dyDescent="0.3">
      <c r="A19" s="2" t="s">
        <v>46</v>
      </c>
      <c r="B19" s="2" t="s">
        <v>47</v>
      </c>
      <c r="C19" s="2" t="s">
        <v>31</v>
      </c>
      <c r="D19" s="2" t="s">
        <v>28</v>
      </c>
      <c r="E19" s="2">
        <v>37</v>
      </c>
      <c r="F19" s="2">
        <v>49.21</v>
      </c>
    </row>
    <row r="20" spans="1:6" x14ac:dyDescent="0.3">
      <c r="A20" s="2" t="s">
        <v>48</v>
      </c>
      <c r="B20" s="2" t="s">
        <v>49</v>
      </c>
      <c r="C20" s="2" t="s">
        <v>31</v>
      </c>
      <c r="D20" s="2" t="s">
        <v>19</v>
      </c>
      <c r="E20" s="2">
        <v>150</v>
      </c>
      <c r="F20" s="2">
        <v>210</v>
      </c>
    </row>
    <row r="21" spans="1:6" x14ac:dyDescent="0.3">
      <c r="A21" s="2" t="s">
        <v>50</v>
      </c>
      <c r="B21" s="2" t="s">
        <v>51</v>
      </c>
      <c r="C21" s="2" t="s">
        <v>52</v>
      </c>
      <c r="D21" s="2" t="s">
        <v>16</v>
      </c>
      <c r="E21" s="2">
        <v>61</v>
      </c>
      <c r="F21" s="2">
        <v>76.25</v>
      </c>
    </row>
    <row r="22" spans="1:6" x14ac:dyDescent="0.3">
      <c r="A22" s="2" t="s">
        <v>53</v>
      </c>
      <c r="B22" s="2" t="s">
        <v>54</v>
      </c>
      <c r="C22" s="2" t="s">
        <v>52</v>
      </c>
      <c r="D22" s="2" t="s">
        <v>19</v>
      </c>
      <c r="E22" s="2">
        <v>126</v>
      </c>
      <c r="F22" s="2">
        <v>162.54</v>
      </c>
    </row>
    <row r="23" spans="1:6" x14ac:dyDescent="0.3">
      <c r="A23" s="2" t="s">
        <v>55</v>
      </c>
      <c r="B23" s="2" t="s">
        <v>56</v>
      </c>
      <c r="C23" s="2" t="s">
        <v>52</v>
      </c>
      <c r="D23" s="2" t="s">
        <v>19</v>
      </c>
      <c r="E23" s="2">
        <v>121</v>
      </c>
      <c r="F23" s="2">
        <v>141.57</v>
      </c>
    </row>
    <row r="24" spans="1:6" x14ac:dyDescent="0.3">
      <c r="A24" s="2" t="s">
        <v>57</v>
      </c>
      <c r="B24" s="2" t="s">
        <v>58</v>
      </c>
      <c r="C24" s="2" t="s">
        <v>52</v>
      </c>
      <c r="D24" s="2" t="s">
        <v>19</v>
      </c>
      <c r="E24" s="2">
        <v>141</v>
      </c>
      <c r="F24" s="2">
        <v>149.46</v>
      </c>
    </row>
    <row r="25" spans="1:6" x14ac:dyDescent="0.3">
      <c r="A25" s="2" t="s">
        <v>59</v>
      </c>
      <c r="B25" s="2" t="s">
        <v>60</v>
      </c>
      <c r="C25" s="2" t="s">
        <v>52</v>
      </c>
      <c r="D25" s="2" t="s">
        <v>19</v>
      </c>
      <c r="E25" s="2">
        <v>144</v>
      </c>
      <c r="F25" s="2">
        <v>156.96</v>
      </c>
    </row>
    <row r="26" spans="1:6" x14ac:dyDescent="0.3">
      <c r="A26" s="2" t="s">
        <v>61</v>
      </c>
      <c r="B26" s="2" t="s">
        <v>62</v>
      </c>
      <c r="C26" s="2" t="s">
        <v>52</v>
      </c>
      <c r="D26" s="2" t="s">
        <v>28</v>
      </c>
      <c r="E26" s="2">
        <v>7</v>
      </c>
      <c r="F26" s="2">
        <v>8.33</v>
      </c>
    </row>
    <row r="27" spans="1:6" x14ac:dyDescent="0.3">
      <c r="A27" s="2" t="s">
        <v>63</v>
      </c>
      <c r="B27" s="2" t="s">
        <v>64</v>
      </c>
      <c r="C27" s="2" t="s">
        <v>65</v>
      </c>
      <c r="D27" s="2" t="s">
        <v>28</v>
      </c>
      <c r="E27" s="2">
        <v>18</v>
      </c>
      <c r="F27" s="2">
        <v>24.66</v>
      </c>
    </row>
    <row r="28" spans="1:6" x14ac:dyDescent="0.3">
      <c r="A28" s="2" t="s">
        <v>66</v>
      </c>
      <c r="B28" s="2" t="s">
        <v>67</v>
      </c>
      <c r="C28" s="2" t="s">
        <v>65</v>
      </c>
      <c r="D28" s="2" t="s">
        <v>16</v>
      </c>
      <c r="E28" s="2">
        <v>48</v>
      </c>
      <c r="F28" s="2">
        <v>57.120000000000005</v>
      </c>
    </row>
    <row r="29" spans="1:6" x14ac:dyDescent="0.3">
      <c r="A29" s="2" t="s">
        <v>68</v>
      </c>
      <c r="B29" s="2" t="s">
        <v>69</v>
      </c>
      <c r="C29" s="2" t="s">
        <v>65</v>
      </c>
      <c r="D29" s="2" t="s">
        <v>28</v>
      </c>
      <c r="E29" s="2">
        <v>37</v>
      </c>
      <c r="F29" s="2">
        <v>41.81</v>
      </c>
    </row>
    <row r="30" spans="1:6" x14ac:dyDescent="0.3">
      <c r="A30" s="2" t="s">
        <v>70</v>
      </c>
      <c r="B30" s="2" t="s">
        <v>71</v>
      </c>
      <c r="C30" s="2" t="s">
        <v>65</v>
      </c>
      <c r="D30" s="2" t="s">
        <v>16</v>
      </c>
      <c r="E30" s="2">
        <v>47</v>
      </c>
      <c r="F30" s="2">
        <v>53.11</v>
      </c>
    </row>
    <row r="31" spans="1:6" x14ac:dyDescent="0.3">
      <c r="A31" s="2" t="s">
        <v>72</v>
      </c>
      <c r="B31" s="2" t="s">
        <v>73</v>
      </c>
      <c r="C31" s="2" t="s">
        <v>65</v>
      </c>
      <c r="D31" s="2" t="s">
        <v>19</v>
      </c>
      <c r="E31" s="2">
        <v>148</v>
      </c>
      <c r="F31" s="2">
        <v>201.28</v>
      </c>
    </row>
    <row r="32" spans="1:6" x14ac:dyDescent="0.3">
      <c r="A32" s="2" t="s">
        <v>74</v>
      </c>
      <c r="B32" s="2" t="s">
        <v>75</v>
      </c>
      <c r="C32" s="2" t="s">
        <v>65</v>
      </c>
      <c r="D32" s="2" t="s">
        <v>9</v>
      </c>
      <c r="E32" s="2">
        <v>93</v>
      </c>
      <c r="F32" s="2">
        <v>104.16</v>
      </c>
    </row>
    <row r="33" spans="1:6" x14ac:dyDescent="0.3">
      <c r="A33" s="2" t="s">
        <v>76</v>
      </c>
      <c r="B33" s="2" t="s">
        <v>77</v>
      </c>
      <c r="C33" s="2" t="s">
        <v>65</v>
      </c>
      <c r="D33" s="2" t="s">
        <v>9</v>
      </c>
      <c r="E33" s="2">
        <v>89</v>
      </c>
      <c r="F33" s="2">
        <v>117.48</v>
      </c>
    </row>
    <row r="34" spans="1:6" x14ac:dyDescent="0.3">
      <c r="A34" s="2" t="s">
        <v>78</v>
      </c>
      <c r="B34" s="2" t="s">
        <v>79</v>
      </c>
      <c r="C34" s="2" t="s">
        <v>65</v>
      </c>
      <c r="D34" s="2" t="s">
        <v>9</v>
      </c>
      <c r="E34" s="2">
        <v>95</v>
      </c>
      <c r="F34" s="2">
        <v>119.7</v>
      </c>
    </row>
    <row r="35" spans="1:6" x14ac:dyDescent="0.3">
      <c r="A35" s="2" t="s">
        <v>80</v>
      </c>
      <c r="B35" s="2" t="s">
        <v>81</v>
      </c>
      <c r="C35" s="2" t="s">
        <v>65</v>
      </c>
      <c r="D35" s="2" t="s">
        <v>16</v>
      </c>
      <c r="E35" s="2">
        <v>55</v>
      </c>
      <c r="F35" s="2">
        <v>58.3</v>
      </c>
    </row>
    <row r="36" spans="1:6" x14ac:dyDescent="0.3">
      <c r="A36" s="2" t="s">
        <v>82</v>
      </c>
      <c r="B36" s="2" t="s">
        <v>83</v>
      </c>
      <c r="C36" s="2" t="s">
        <v>65</v>
      </c>
      <c r="D36" s="2" t="s">
        <v>28</v>
      </c>
      <c r="E36" s="2">
        <v>5</v>
      </c>
      <c r="F36" s="2">
        <v>6.7</v>
      </c>
    </row>
    <row r="37" spans="1:6" x14ac:dyDescent="0.3">
      <c r="A37" s="2" t="s">
        <v>84</v>
      </c>
      <c r="B37" s="2" t="s">
        <v>85</v>
      </c>
      <c r="C37" s="2" t="s">
        <v>65</v>
      </c>
      <c r="D37" s="2" t="s">
        <v>9</v>
      </c>
      <c r="E37" s="2">
        <v>90</v>
      </c>
      <c r="F37" s="2">
        <v>96.3</v>
      </c>
    </row>
    <row r="38" spans="1:6" x14ac:dyDescent="0.3">
      <c r="A38" s="2" t="s">
        <v>86</v>
      </c>
      <c r="B38" s="2" t="s">
        <v>87</v>
      </c>
      <c r="C38" s="2" t="s">
        <v>88</v>
      </c>
      <c r="D38" s="2" t="s">
        <v>9</v>
      </c>
      <c r="E38" s="2">
        <v>67</v>
      </c>
      <c r="F38" s="2">
        <v>85.76</v>
      </c>
    </row>
    <row r="39" spans="1:6" x14ac:dyDescent="0.3">
      <c r="A39" s="2" t="s">
        <v>89</v>
      </c>
      <c r="B39" s="2" t="s">
        <v>90</v>
      </c>
      <c r="C39" s="2" t="s">
        <v>88</v>
      </c>
      <c r="D39" s="2" t="s">
        <v>9</v>
      </c>
      <c r="E39" s="2">
        <v>72</v>
      </c>
      <c r="F39" s="2">
        <v>79.92</v>
      </c>
    </row>
    <row r="40" spans="1:6" x14ac:dyDescent="0.3">
      <c r="A40" s="2" t="s">
        <v>91</v>
      </c>
      <c r="B40" s="2" t="s">
        <v>92</v>
      </c>
      <c r="C40" s="2" t="s">
        <v>88</v>
      </c>
      <c r="D40" s="2" t="s">
        <v>28</v>
      </c>
      <c r="E40" s="2">
        <v>37</v>
      </c>
      <c r="F40" s="2">
        <v>42.55</v>
      </c>
    </row>
    <row r="41" spans="1:6" x14ac:dyDescent="0.3">
      <c r="A41" s="2" t="s">
        <v>93</v>
      </c>
      <c r="B41" s="2" t="s">
        <v>94</v>
      </c>
      <c r="C41" s="2" t="s">
        <v>88</v>
      </c>
      <c r="D41" s="2" t="s">
        <v>9</v>
      </c>
      <c r="E41" s="2">
        <v>90</v>
      </c>
      <c r="F41" s="2">
        <v>115.2</v>
      </c>
    </row>
    <row r="42" spans="1:6" x14ac:dyDescent="0.3">
      <c r="A42" s="2" t="s">
        <v>95</v>
      </c>
      <c r="B42" s="2" t="s">
        <v>96</v>
      </c>
      <c r="C42" s="2" t="s">
        <v>88</v>
      </c>
      <c r="D42" s="2" t="s">
        <v>19</v>
      </c>
      <c r="E42" s="2">
        <v>138</v>
      </c>
      <c r="F42" s="2">
        <v>173.88</v>
      </c>
    </row>
    <row r="43" spans="1:6" x14ac:dyDescent="0.3">
      <c r="A43" s="2" t="s">
        <v>97</v>
      </c>
      <c r="B43" s="2" t="s">
        <v>98</v>
      </c>
      <c r="C43" s="2" t="s">
        <v>88</v>
      </c>
      <c r="D43" s="2" t="s">
        <v>19</v>
      </c>
      <c r="E43" s="2">
        <v>120</v>
      </c>
      <c r="F43" s="2">
        <v>162</v>
      </c>
    </row>
    <row r="44" spans="1:6" x14ac:dyDescent="0.3">
      <c r="A44" s="2" t="s">
        <v>99</v>
      </c>
      <c r="B44" s="2" t="s">
        <v>100</v>
      </c>
      <c r="C44" s="2" t="s">
        <v>88</v>
      </c>
      <c r="D44" s="2" t="s">
        <v>9</v>
      </c>
      <c r="E44" s="2">
        <v>67</v>
      </c>
      <c r="F44" s="2">
        <v>83.08</v>
      </c>
    </row>
    <row r="45" spans="1:6" x14ac:dyDescent="0.3">
      <c r="A45" s="2" t="s">
        <v>101</v>
      </c>
      <c r="B45" s="2" t="s">
        <v>102</v>
      </c>
      <c r="C45" s="2" t="s">
        <v>88</v>
      </c>
      <c r="D45" s="2" t="s">
        <v>9</v>
      </c>
      <c r="E45" s="2">
        <v>76</v>
      </c>
      <c r="F45" s="2">
        <v>82.08</v>
      </c>
    </row>
    <row r="46" spans="1:6" x14ac:dyDescent="0.3">
      <c r="A46" s="2" t="s">
        <v>103</v>
      </c>
      <c r="B46" s="2" t="s">
        <v>104</v>
      </c>
      <c r="C46" s="2" t="s">
        <v>88</v>
      </c>
      <c r="D46" s="2" t="s">
        <v>9</v>
      </c>
      <c r="E46" s="2">
        <v>50</v>
      </c>
      <c r="F46" s="2">
        <v>62</v>
      </c>
    </row>
  </sheetData>
  <dataValidations count="2">
    <dataValidation type="list" allowBlank="1" showInputMessage="1" showErrorMessage="1" sqref="C2:C46" xr:uid="{238FC331-F027-4D90-A8B7-113CD23BEF9A}">
      <formula1>"Category01,Category02,Category03,Category04,Category05"</formula1>
    </dataValidation>
    <dataValidation type="list" allowBlank="1" showInputMessage="1" showErrorMessage="1" sqref="D2:D46" xr:uid="{51404E4B-61F1-4E2D-BD3C-C7B234BB27C0}">
      <formula1>"Kg,Lt,Ft,Dozon,No."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C012-6D43-4F0E-8CC3-0A89078C4A24}">
  <dimension ref="A2:Q44"/>
  <sheetViews>
    <sheetView topLeftCell="B1" zoomScale="70" zoomScaleNormal="70" workbookViewId="0">
      <selection activeCell="P5" sqref="P4:Q9"/>
    </sheetView>
  </sheetViews>
  <sheetFormatPr defaultRowHeight="14.4" x14ac:dyDescent="0.3"/>
  <cols>
    <col min="1" max="1" width="16.6640625" customWidth="1"/>
    <col min="2" max="2" width="23.109375" customWidth="1"/>
    <col min="3" max="3" width="23" customWidth="1"/>
    <col min="4" max="4" width="15.5546875" customWidth="1"/>
    <col min="5" max="5" width="13.88671875" customWidth="1"/>
    <col min="6" max="6" width="23" customWidth="1"/>
    <col min="7" max="9" width="15.5546875" customWidth="1"/>
    <col min="10" max="10" width="17.109375" customWidth="1"/>
    <col min="11" max="11" width="23" customWidth="1"/>
    <col min="12" max="12" width="15.5546875" customWidth="1"/>
    <col min="13" max="13" width="13.88671875" customWidth="1"/>
    <col min="14" max="14" width="23" customWidth="1"/>
    <col min="17" max="17" width="23.44140625" customWidth="1"/>
  </cols>
  <sheetData>
    <row r="2" spans="1:17" x14ac:dyDescent="0.3">
      <c r="P2" s="20" t="s">
        <v>160</v>
      </c>
    </row>
    <row r="3" spans="1:17" x14ac:dyDescent="0.3">
      <c r="A3" s="9" t="s">
        <v>140</v>
      </c>
      <c r="B3" t="s">
        <v>141</v>
      </c>
      <c r="C3" t="s">
        <v>142</v>
      </c>
      <c r="E3" s="12" t="s">
        <v>106</v>
      </c>
      <c r="F3" s="12" t="s">
        <v>143</v>
      </c>
      <c r="G3" s="12" t="s">
        <v>144</v>
      </c>
      <c r="H3" s="12" t="s">
        <v>145</v>
      </c>
      <c r="J3" s="9" t="s">
        <v>140</v>
      </c>
      <c r="K3" t="s">
        <v>142</v>
      </c>
    </row>
    <row r="4" spans="1:17" x14ac:dyDescent="0.3">
      <c r="A4" s="10" t="s">
        <v>113</v>
      </c>
      <c r="B4" s="11">
        <v>34290</v>
      </c>
      <c r="C4" s="11">
        <v>41346.959999999992</v>
      </c>
      <c r="E4" s="12" t="s">
        <v>146</v>
      </c>
      <c r="F4" s="12">
        <f>VLOOKUP(E4,$A$4:$C$15,3,0)</f>
        <v>41346.959999999992</v>
      </c>
      <c r="G4" s="12">
        <f>F4-(VLOOKUP(E4,$A$4:$C$15,2,0))</f>
        <v>7056.9599999999919</v>
      </c>
      <c r="H4" s="13">
        <f>G4/(VLOOKUP(E4,$A$4:$C$15,2,0))</f>
        <v>0.20580227471566032</v>
      </c>
      <c r="J4" s="10" t="s">
        <v>95</v>
      </c>
      <c r="K4" s="11">
        <v>22952.16</v>
      </c>
      <c r="M4" s="9" t="s">
        <v>140</v>
      </c>
      <c r="N4" t="s">
        <v>142</v>
      </c>
      <c r="P4" s="18" t="str" cm="1">
        <f t="array" aca="1" ref="P4:Q9" ca="1">OFFSET(M4,0,0,COUNTA(M:M)-1,2)</f>
        <v>Row Labels</v>
      </c>
      <c r="Q4" s="18" t="str">
        <f ca="1"/>
        <v>Sum of Total Selling Price</v>
      </c>
    </row>
    <row r="5" spans="1:17" x14ac:dyDescent="0.3">
      <c r="A5" s="10" t="s">
        <v>127</v>
      </c>
      <c r="B5" s="11">
        <v>25341</v>
      </c>
      <c r="C5" s="11">
        <v>30857.300000000003</v>
      </c>
      <c r="E5" s="12" t="s">
        <v>147</v>
      </c>
      <c r="F5" s="12">
        <f t="shared" ref="F5:F15" si="0">VLOOKUP(E5,$A$4:$C$15,3,0)</f>
        <v>30857.300000000003</v>
      </c>
      <c r="G5" s="12">
        <f t="shared" ref="G5:G15" si="1">F5-(VLOOKUP(E5,$A$4:$C$15,2,0))</f>
        <v>5516.3000000000029</v>
      </c>
      <c r="H5" s="13">
        <f t="shared" ref="H5:H15" si="2">G5/(VLOOKUP(E5,$A$4:$C$15,2,0))</f>
        <v>0.21768280651907987</v>
      </c>
      <c r="J5" s="10" t="s">
        <v>139</v>
      </c>
      <c r="K5" s="11">
        <v>22952.16</v>
      </c>
      <c r="M5" s="10" t="s">
        <v>29</v>
      </c>
      <c r="N5" s="11">
        <v>16428</v>
      </c>
      <c r="P5" s="18" t="str">
        <f ca="1"/>
        <v>P0010</v>
      </c>
      <c r="Q5" s="18">
        <f ca="1"/>
        <v>16428</v>
      </c>
    </row>
    <row r="6" spans="1:17" x14ac:dyDescent="0.3">
      <c r="A6" s="10" t="s">
        <v>128</v>
      </c>
      <c r="B6" s="11">
        <v>23437</v>
      </c>
      <c r="C6" s="11">
        <v>28616.65</v>
      </c>
      <c r="E6" s="12" t="s">
        <v>148</v>
      </c>
      <c r="F6" s="12">
        <f t="shared" si="0"/>
        <v>28616.65</v>
      </c>
      <c r="G6" s="12">
        <f t="shared" si="1"/>
        <v>5179.6500000000015</v>
      </c>
      <c r="H6" s="13">
        <f t="shared" si="2"/>
        <v>0.22100311473311438</v>
      </c>
      <c r="M6" s="10" t="s">
        <v>48</v>
      </c>
      <c r="N6" s="11">
        <v>20160</v>
      </c>
      <c r="P6" s="18" t="str">
        <f ca="1"/>
        <v>P0019</v>
      </c>
      <c r="Q6" s="18">
        <f ca="1"/>
        <v>20160</v>
      </c>
    </row>
    <row r="7" spans="1:17" x14ac:dyDescent="0.3">
      <c r="A7" s="10" t="s">
        <v>129</v>
      </c>
      <c r="B7" s="11">
        <v>21282</v>
      </c>
      <c r="C7" s="11">
        <v>26579.11</v>
      </c>
      <c r="E7" s="12" t="s">
        <v>149</v>
      </c>
      <c r="F7" s="12">
        <f t="shared" si="0"/>
        <v>26579.11</v>
      </c>
      <c r="G7" s="12">
        <f t="shared" si="1"/>
        <v>5297.1100000000006</v>
      </c>
      <c r="H7" s="13">
        <f t="shared" si="2"/>
        <v>0.24890094915891367</v>
      </c>
      <c r="M7" s="10" t="s">
        <v>72</v>
      </c>
      <c r="N7" s="11">
        <v>22945.919999999998</v>
      </c>
      <c r="P7" s="18" t="str">
        <f ca="1"/>
        <v>P0030</v>
      </c>
      <c r="Q7" s="18">
        <f ca="1"/>
        <v>22945.919999999998</v>
      </c>
    </row>
    <row r="8" spans="1:17" x14ac:dyDescent="0.3">
      <c r="A8" s="10" t="s">
        <v>130</v>
      </c>
      <c r="B8" s="11">
        <v>26526</v>
      </c>
      <c r="C8" s="11">
        <v>30910.45</v>
      </c>
      <c r="E8" s="12" t="s">
        <v>150</v>
      </c>
      <c r="F8" s="12">
        <f t="shared" si="0"/>
        <v>30910.45</v>
      </c>
      <c r="G8" s="12">
        <f t="shared" si="1"/>
        <v>4384.4500000000007</v>
      </c>
      <c r="H8" s="13">
        <f t="shared" si="2"/>
        <v>0.16528877327904701</v>
      </c>
      <c r="M8" s="10" t="s">
        <v>95</v>
      </c>
      <c r="N8" s="11">
        <v>22952.16</v>
      </c>
      <c r="P8" s="18" t="str">
        <f ca="1"/>
        <v>P0041</v>
      </c>
      <c r="Q8" s="18">
        <f ca="1"/>
        <v>22952.16</v>
      </c>
    </row>
    <row r="9" spans="1:17" x14ac:dyDescent="0.3">
      <c r="A9" s="10" t="s">
        <v>131</v>
      </c>
      <c r="B9" s="11">
        <v>24879</v>
      </c>
      <c r="C9" s="11">
        <v>30533.710000000003</v>
      </c>
      <c r="E9" s="12" t="s">
        <v>151</v>
      </c>
      <c r="F9" s="12">
        <f t="shared" si="0"/>
        <v>30533.710000000003</v>
      </c>
      <c r="G9" s="12">
        <f t="shared" si="1"/>
        <v>5654.7100000000028</v>
      </c>
      <c r="H9" s="13">
        <f t="shared" si="2"/>
        <v>0.22728847622492876</v>
      </c>
      <c r="M9" s="10" t="s">
        <v>97</v>
      </c>
      <c r="N9" s="11">
        <v>20574</v>
      </c>
      <c r="P9" s="18" t="str">
        <f ca="1"/>
        <v>P0042</v>
      </c>
      <c r="Q9" s="18">
        <f ca="1"/>
        <v>20574</v>
      </c>
    </row>
    <row r="10" spans="1:17" x14ac:dyDescent="0.3">
      <c r="A10" s="10" t="s">
        <v>132</v>
      </c>
      <c r="B10" s="11">
        <v>29878</v>
      </c>
      <c r="C10" s="11">
        <v>35251.79</v>
      </c>
      <c r="E10" s="12" t="s">
        <v>152</v>
      </c>
      <c r="F10" s="12">
        <f t="shared" si="0"/>
        <v>35251.79</v>
      </c>
      <c r="G10" s="12">
        <f t="shared" si="1"/>
        <v>5373.7900000000009</v>
      </c>
      <c r="H10" s="13">
        <f t="shared" si="2"/>
        <v>0.1798577548698039</v>
      </c>
      <c r="M10" s="10" t="s">
        <v>139</v>
      </c>
      <c r="N10" s="11">
        <v>103060.08</v>
      </c>
    </row>
    <row r="11" spans="1:17" x14ac:dyDescent="0.3">
      <c r="A11" s="10" t="s">
        <v>133</v>
      </c>
      <c r="B11" s="11">
        <v>29831</v>
      </c>
      <c r="C11" s="11">
        <v>35350.400000000016</v>
      </c>
      <c r="E11" s="12" t="s">
        <v>153</v>
      </c>
      <c r="F11" s="12">
        <f t="shared" si="0"/>
        <v>35350.400000000016</v>
      </c>
      <c r="G11" s="12">
        <f t="shared" si="1"/>
        <v>5519.400000000016</v>
      </c>
      <c r="H11" s="13">
        <f t="shared" si="2"/>
        <v>0.18502229224632147</v>
      </c>
    </row>
    <row r="12" spans="1:17" x14ac:dyDescent="0.3">
      <c r="A12" s="10" t="s">
        <v>134</v>
      </c>
      <c r="B12" s="11">
        <v>28758</v>
      </c>
      <c r="C12" s="11">
        <v>35242.810000000005</v>
      </c>
      <c r="E12" s="12" t="s">
        <v>154</v>
      </c>
      <c r="F12" s="12">
        <f t="shared" si="0"/>
        <v>35242.810000000005</v>
      </c>
      <c r="G12" s="12">
        <f t="shared" si="1"/>
        <v>6484.8100000000049</v>
      </c>
      <c r="H12" s="13">
        <f t="shared" si="2"/>
        <v>0.22549586202100302</v>
      </c>
      <c r="J12" s="17" t="s">
        <v>140</v>
      </c>
      <c r="K12" s="18" t="s">
        <v>142</v>
      </c>
    </row>
    <row r="13" spans="1:17" x14ac:dyDescent="0.3">
      <c r="A13" s="10" t="s">
        <v>135</v>
      </c>
      <c r="B13" s="11">
        <v>27842</v>
      </c>
      <c r="C13" s="11">
        <v>33500.69000000001</v>
      </c>
      <c r="E13" s="12" t="s">
        <v>155</v>
      </c>
      <c r="F13" s="12">
        <f t="shared" si="0"/>
        <v>33500.69000000001</v>
      </c>
      <c r="G13" s="12">
        <f t="shared" si="1"/>
        <v>5658.6900000000096</v>
      </c>
      <c r="H13" s="13">
        <f t="shared" si="2"/>
        <v>0.20324294231736259</v>
      </c>
      <c r="J13" s="18">
        <v>1</v>
      </c>
      <c r="K13" s="19">
        <v>13167.810000000001</v>
      </c>
    </row>
    <row r="14" spans="1:17" x14ac:dyDescent="0.3">
      <c r="A14" s="10" t="s">
        <v>136</v>
      </c>
      <c r="B14" s="11">
        <v>29306</v>
      </c>
      <c r="C14" s="11">
        <v>36124.07</v>
      </c>
      <c r="E14" s="12" t="s">
        <v>156</v>
      </c>
      <c r="F14" s="12">
        <f t="shared" si="0"/>
        <v>36124.07</v>
      </c>
      <c r="G14" s="12">
        <f t="shared" si="1"/>
        <v>6818.07</v>
      </c>
      <c r="H14" s="13">
        <f t="shared" si="2"/>
        <v>0.2326509929707227</v>
      </c>
      <c r="J14" s="18">
        <v>2</v>
      </c>
      <c r="K14" s="19">
        <v>13210.220000000001</v>
      </c>
    </row>
    <row r="15" spans="1:17" x14ac:dyDescent="0.3">
      <c r="A15" s="10" t="s">
        <v>137</v>
      </c>
      <c r="B15" s="11">
        <v>31134</v>
      </c>
      <c r="C15" s="11">
        <v>37097.979999999996</v>
      </c>
      <c r="E15" s="12" t="s">
        <v>157</v>
      </c>
      <c r="F15" s="12">
        <f t="shared" si="0"/>
        <v>37097.979999999996</v>
      </c>
      <c r="G15" s="12">
        <f t="shared" si="1"/>
        <v>5963.9799999999959</v>
      </c>
      <c r="H15" s="13">
        <f t="shared" si="2"/>
        <v>0.19155842487312894</v>
      </c>
      <c r="J15" s="18">
        <v>3</v>
      </c>
      <c r="K15" s="19">
        <v>20202.099999999995</v>
      </c>
    </row>
    <row r="16" spans="1:17" x14ac:dyDescent="0.3">
      <c r="A16" s="10" t="s">
        <v>139</v>
      </c>
      <c r="B16" s="11">
        <v>332504</v>
      </c>
      <c r="C16" s="11">
        <v>401411.92000000004</v>
      </c>
      <c r="J16" s="18">
        <v>4</v>
      </c>
      <c r="K16" s="19">
        <v>11312.2</v>
      </c>
    </row>
    <row r="17" spans="1:11" x14ac:dyDescent="0.3">
      <c r="J17" s="18">
        <v>5</v>
      </c>
      <c r="K17" s="19">
        <v>11711.449999999999</v>
      </c>
    </row>
    <row r="18" spans="1:11" x14ac:dyDescent="0.3">
      <c r="E18" s="9" t="s">
        <v>140</v>
      </c>
      <c r="F18" t="s">
        <v>142</v>
      </c>
      <c r="J18" s="18">
        <v>6</v>
      </c>
      <c r="K18" s="19">
        <v>14365.540000000005</v>
      </c>
    </row>
    <row r="19" spans="1:11" x14ac:dyDescent="0.3">
      <c r="E19" s="10" t="s">
        <v>117</v>
      </c>
      <c r="F19" s="11">
        <v>199516.90000000008</v>
      </c>
      <c r="J19" s="18">
        <v>7</v>
      </c>
      <c r="K19" s="19">
        <v>7132.79</v>
      </c>
    </row>
    <row r="20" spans="1:11" x14ac:dyDescent="0.3">
      <c r="A20" t="s">
        <v>142</v>
      </c>
      <c r="B20" t="s">
        <v>141</v>
      </c>
      <c r="E20" s="10" t="s">
        <v>115</v>
      </c>
      <c r="F20" s="11">
        <v>201895.01999999993</v>
      </c>
      <c r="J20" s="18">
        <v>8</v>
      </c>
      <c r="K20" s="19">
        <v>14262.46</v>
      </c>
    </row>
    <row r="21" spans="1:11" x14ac:dyDescent="0.3">
      <c r="A21" s="11">
        <v>401411.91999999969</v>
      </c>
      <c r="B21" s="11">
        <v>332504</v>
      </c>
      <c r="E21" s="10" t="s">
        <v>139</v>
      </c>
      <c r="F21" s="11">
        <v>401411.92000000004</v>
      </c>
      <c r="J21" s="18">
        <v>9</v>
      </c>
      <c r="K21" s="19">
        <v>16824.670000000002</v>
      </c>
    </row>
    <row r="22" spans="1:11" ht="15.6" customHeight="1" x14ac:dyDescent="0.3">
      <c r="A22" s="11"/>
      <c r="B22" s="11"/>
      <c r="J22" s="18">
        <v>10</v>
      </c>
      <c r="K22" s="19">
        <v>15229.35</v>
      </c>
    </row>
    <row r="23" spans="1:11" ht="15.6" customHeight="1" x14ac:dyDescent="0.3">
      <c r="A23" s="14">
        <f>(GETPIVOTDATA("Sum of Total Selling Price",$A$20)-GETPIVOTDATA("Sum of Total Buying Price",$A$20))/GETPIVOTDATA("Sum of Total Buying Price",$A$20)</f>
        <v>0.20723937155643149</v>
      </c>
      <c r="B23" s="15" t="s">
        <v>159</v>
      </c>
      <c r="J23" s="18">
        <v>11</v>
      </c>
      <c r="K23" s="19">
        <v>11915.58</v>
      </c>
    </row>
    <row r="24" spans="1:11" x14ac:dyDescent="0.3">
      <c r="J24" s="18">
        <v>12</v>
      </c>
      <c r="K24" s="19">
        <v>14837.359999999999</v>
      </c>
    </row>
    <row r="25" spans="1:11" x14ac:dyDescent="0.3">
      <c r="A25" t="s">
        <v>158</v>
      </c>
      <c r="E25" s="9" t="s">
        <v>140</v>
      </c>
      <c r="F25" t="s">
        <v>142</v>
      </c>
      <c r="J25" s="18">
        <v>13</v>
      </c>
      <c r="K25" s="19">
        <v>8084.26</v>
      </c>
    </row>
    <row r="26" spans="1:11" x14ac:dyDescent="0.3">
      <c r="A26" s="11">
        <v>4280</v>
      </c>
      <c r="E26" s="10" t="s">
        <v>114</v>
      </c>
      <c r="F26" s="11">
        <v>187284.31999999995</v>
      </c>
      <c r="J26" s="18">
        <v>14</v>
      </c>
      <c r="K26" s="19">
        <v>9461.1400000000012</v>
      </c>
    </row>
    <row r="27" spans="1:11" x14ac:dyDescent="0.3">
      <c r="E27" s="10" t="s">
        <v>138</v>
      </c>
      <c r="F27" s="11">
        <v>214127.59999999998</v>
      </c>
      <c r="J27" s="18">
        <v>15</v>
      </c>
      <c r="K27" s="19">
        <v>12189.7</v>
      </c>
    </row>
    <row r="28" spans="1:11" x14ac:dyDescent="0.3">
      <c r="E28" s="10" t="s">
        <v>139</v>
      </c>
      <c r="F28" s="11">
        <v>401411.91999999993</v>
      </c>
      <c r="J28" s="18">
        <v>16</v>
      </c>
      <c r="K28" s="19">
        <v>12762.63</v>
      </c>
    </row>
    <row r="29" spans="1:11" x14ac:dyDescent="0.3">
      <c r="J29" s="18">
        <v>17</v>
      </c>
      <c r="K29" s="19">
        <v>3659.24</v>
      </c>
    </row>
    <row r="30" spans="1:11" x14ac:dyDescent="0.3">
      <c r="J30" s="18">
        <v>18</v>
      </c>
      <c r="K30" s="19">
        <v>18582.390000000003</v>
      </c>
    </row>
    <row r="31" spans="1:11" x14ac:dyDescent="0.3">
      <c r="J31" s="18">
        <v>19</v>
      </c>
      <c r="K31" s="19">
        <v>10204.229999999998</v>
      </c>
    </row>
    <row r="32" spans="1:11" x14ac:dyDescent="0.3">
      <c r="J32" s="18">
        <v>20</v>
      </c>
      <c r="K32" s="19">
        <v>20482.78</v>
      </c>
    </row>
    <row r="33" spans="10:11" x14ac:dyDescent="0.3">
      <c r="J33" s="18">
        <v>21</v>
      </c>
      <c r="K33" s="19">
        <v>10665.4</v>
      </c>
    </row>
    <row r="34" spans="10:11" x14ac:dyDescent="0.3">
      <c r="J34" s="18">
        <v>22</v>
      </c>
      <c r="K34" s="19">
        <v>11315.839999999997</v>
      </c>
    </row>
    <row r="35" spans="10:11" x14ac:dyDescent="0.3">
      <c r="J35" s="18">
        <v>23</v>
      </c>
      <c r="K35" s="19">
        <v>18818.189999999999</v>
      </c>
    </row>
    <row r="36" spans="10:11" x14ac:dyDescent="0.3">
      <c r="J36" s="18">
        <v>24</v>
      </c>
      <c r="K36" s="19">
        <v>11488.4</v>
      </c>
    </row>
    <row r="37" spans="10:11" x14ac:dyDescent="0.3">
      <c r="J37" s="18">
        <v>25</v>
      </c>
      <c r="K37" s="19">
        <v>18688.430000000004</v>
      </c>
    </row>
    <row r="38" spans="10:11" x14ac:dyDescent="0.3">
      <c r="J38" s="18">
        <v>26</v>
      </c>
      <c r="K38" s="19">
        <v>13710.079999999998</v>
      </c>
    </row>
    <row r="39" spans="10:11" x14ac:dyDescent="0.3">
      <c r="J39" s="18">
        <v>27</v>
      </c>
      <c r="K39" s="19">
        <v>11440.67</v>
      </c>
    </row>
    <row r="40" spans="10:11" x14ac:dyDescent="0.3">
      <c r="J40" s="18">
        <v>28</v>
      </c>
      <c r="K40" s="19">
        <v>13306.16</v>
      </c>
    </row>
    <row r="41" spans="10:11" x14ac:dyDescent="0.3">
      <c r="J41" s="18">
        <v>29</v>
      </c>
      <c r="K41" s="19">
        <v>8794.48</v>
      </c>
    </row>
    <row r="42" spans="10:11" x14ac:dyDescent="0.3">
      <c r="J42" s="18">
        <v>30</v>
      </c>
      <c r="K42" s="19">
        <v>16666.269999999997</v>
      </c>
    </row>
    <row r="43" spans="10:11" x14ac:dyDescent="0.3">
      <c r="J43" s="18">
        <v>31</v>
      </c>
      <c r="K43" s="19">
        <v>6920.0999999999995</v>
      </c>
    </row>
    <row r="44" spans="10:11" x14ac:dyDescent="0.3">
      <c r="J44" s="18" t="s">
        <v>139</v>
      </c>
      <c r="K44" s="19">
        <v>401411.92</v>
      </c>
    </row>
  </sheetData>
  <phoneticPr fontId="4" type="noConversion"/>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3CB56-791D-4929-83A4-9D93B7F4A9C6}">
  <sheetPr>
    <tabColor rgb="FF00B050"/>
  </sheetPr>
  <dimension ref="A1"/>
  <sheetViews>
    <sheetView showGridLines="0" tabSelected="1" topLeftCell="A5" zoomScale="55" zoomScaleNormal="55" workbookViewId="0">
      <selection activeCell="AA28" sqref="AA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Sheet1</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Nimesh Koshti</cp:lastModifiedBy>
  <dcterms:created xsi:type="dcterms:W3CDTF">2015-06-05T18:17:20Z</dcterms:created>
  <dcterms:modified xsi:type="dcterms:W3CDTF">2025-12-31T07:21:52Z</dcterms:modified>
</cp:coreProperties>
</file>